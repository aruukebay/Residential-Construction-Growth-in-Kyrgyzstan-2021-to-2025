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_Me" sheetId="1" state="visible" r:id="rId1"/>
    <sheet xmlns:r="http://schemas.openxmlformats.org/officeDocument/2006/relationships" name="Construction_Raw" sheetId="2" state="visible" r:id="rId2"/>
    <sheet xmlns:r="http://schemas.openxmlformats.org/officeDocument/2006/relationships" name="Cleaning_Log" sheetId="3" state="visible" r:id="rId3"/>
    <sheet xmlns:r="http://schemas.openxmlformats.org/officeDocument/2006/relationships" name="Construction_Clean" sheetId="4" state="visible" r:id="rId4"/>
    <sheet xmlns:r="http://schemas.openxmlformats.org/officeDocument/2006/relationships" name="National_Summary" sheetId="5" state="visible" r:id="rId5"/>
    <sheet xmlns:r="http://schemas.openxmlformats.org/officeDocument/2006/relationships" name="Regional_Summary" sheetId="6" state="visible" r:id="rId6"/>
    <sheet xmlns:r="http://schemas.openxmlformats.org/officeDocument/2006/relationships" name="Population_Exploratory" sheetId="7" state="visible" r:id="rId7"/>
    <sheet xmlns:r="http://schemas.openxmlformats.org/officeDocument/2006/relationships" name="Validation_Log" sheetId="8" state="visible" r:id="rId8"/>
    <sheet xmlns:r="http://schemas.openxmlformats.org/officeDocument/2006/relationships" name="Source_Log" sheetId="9" state="visible" r:id="rId9"/>
    <sheet xmlns:r="http://schemas.openxmlformats.org/officeDocument/2006/relationships" name="Literature_Matrix" sheetId="10" state="visible" r:id="rId10"/>
    <sheet xmlns:r="http://schemas.openxmlformats.org/officeDocument/2006/relationships" name="Sensitivity_City_Region" sheetId="11" state="visible" r:id="rId11"/>
    <sheet xmlns:r="http://schemas.openxmlformats.org/officeDocument/2006/relationships" name="HHI_Comparison" sheetId="12" state="visible" r:id="rId12"/>
    <sheet xmlns:r="http://schemas.openxmlformats.org/officeDocument/2006/relationships" name="Robustness_TwoYearAvg" sheetId="13" state="visible" r:id="rId13"/>
    <sheet xmlns:r="http://schemas.openxmlformats.org/officeDocument/2006/relationships" name="Decomposition_Contribution" sheetId="14" state="visible" r:id="rId14"/>
    <sheet xmlns:r="http://schemas.openxmlformats.org/officeDocument/2006/relationships" name="Population_A1" sheetId="15" state="visible" r:id="rId15"/>
  </sheets>
  <definedNames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00"/>
  </numFmts>
  <fonts count="6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1"/>
    </font>
    <font>
      <i val="1"/>
    </font>
    <font>
      <b val="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  <fill>
      <patternFill patternType="solid">
        <fgColor rgb="00D9E2F3"/>
      </patternFill>
    </fill>
  </fills>
  <borders count="2">
    <border/>
    <border/>
  </borders>
  <cellStyleXfs count="1">
    <xf numFmtId="0" fontId="0" fillId="0" borderId="1"/>
  </cellStyleXfs>
  <cellXfs count="5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3" fontId="0" fillId="0" borderId="1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5" fontId="0" fillId="0" borderId="1" applyAlignment="1" pivotButton="0" quotePrefix="0" xfId="0">
      <alignment wrapText="1"/>
    </xf>
    <xf numFmtId="164" fontId="0" fillId="0" borderId="0" pivotButton="0" quotePrefix="0" xfId="0"/>
    <xf numFmtId="164" fontId="0" fillId="0" borderId="1" pivotButton="0" quotePrefix="0" xfId="0"/>
    <xf numFmtId="3" fontId="0" fillId="0" borderId="0" pivotButton="0" quotePrefix="0" xfId="0"/>
    <xf numFmtId="3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164" fontId="0" fillId="0" borderId="0" applyAlignment="1" pivotButton="0" quotePrefix="0" xfId="0">
      <alignment wrapText="1"/>
    </xf>
    <xf numFmtId="3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0" fontId="4" fillId="0" borderId="0" pivotButton="0" quotePrefix="0" xfId="0"/>
    <xf numFmtId="0" fontId="5" fillId="5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National Residential Floor Area Commissioned, 2021 to 2025</a:t>
            </a:r>
          </a:p>
        </rich>
      </tx>
    </title>
    <plotArea>
      <lineChart>
        <grouping val="standard"/>
        <ser>
          <idx val="0"/>
          <order val="0"/>
          <tx>
            <v>national_total_thousand_sqm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'National_Summary'!$A$2:$A$6</f>
              <strCache>
                <ptCount val="0"/>
              </strCache>
            </strRef>
          </cat>
          <val>
            <numRef>
              <f>'National_Summary'!$B$2:$B$6</f>
              <numCache>
                <formatCode>0.0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Regional Change in Commissioned Residential Floor Area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2021_thousand_sqm</v>
          </tx>
          <spPr>
            <a:ln xmlns:a="http://schemas.openxmlformats.org/drawingml/2006/main">
              <a:prstDash val="solid"/>
            </a:ln>
          </spPr>
          <cat>
            <strRef>
              <f>'Regional_Summary'!$A$2:$A$10</f>
              <strCache>
                <ptCount val="0"/>
              </strCache>
            </strRef>
          </cat>
          <val>
            <numRef>
              <f>'Regional_Summary'!$B$2:$B$10</f>
              <numCache>
                <formatCode>0.0</formatCode>
                <ptCount val="0"/>
              </numCache>
            </numRef>
          </val>
        </ser>
        <ser>
          <idx val="1"/>
          <order val="1"/>
          <tx>
            <v>2025_thousand_sqm</v>
          </tx>
          <spPr>
            <a:ln xmlns:a="http://schemas.openxmlformats.org/drawingml/2006/main">
              <a:prstDash val="solid"/>
            </a:ln>
          </spPr>
          <cat>
            <strRef>
              <f>'Regional_Summary'!$A$2:$A$10</f>
              <strCache>
                <ptCount val="0"/>
              </strCache>
            </strRef>
          </cat>
          <val>
            <numRef>
              <f>'Regional_Summary'!$C$2:$C$10</f>
              <numCache>
                <formatCode>0.0</formatCode>
                <ptCount val="0"/>
              </numCache>
            </numRef>
          </val>
        </ser>
        <ser>
          <idx val="2"/>
          <order val="2"/>
          <tx>
            <v>absolute_change_thousand_sqm</v>
          </tx>
          <spPr>
            <a:ln xmlns:a="http://schemas.openxmlformats.org/drawingml/2006/main">
              <a:prstDash val="solid"/>
            </a:ln>
          </spPr>
          <cat>
            <strRef>
              <f>'Regional_Summary'!$A$2:$A$10</f>
              <strCache>
                <ptCount val="0"/>
              </strCache>
            </strRef>
          </cat>
          <val>
            <numRef>
              <f>'Regional_Summary'!$D$2:$D$10</f>
              <numCache>
                <formatCode>0.0</formatCode>
                <ptCount val="0"/>
              </numCache>
            </numRef>
          </val>
        </ser>
        <ser>
          <idx val="3"/>
          <order val="3"/>
          <tx>
            <v>pct_change</v>
          </tx>
          <spPr>
            <a:ln xmlns:a="http://schemas.openxmlformats.org/drawingml/2006/main">
              <a:prstDash val="solid"/>
            </a:ln>
          </spPr>
          <cat>
            <strRef>
              <f>'Regional_Summary'!$A$2:$A$10</f>
              <strCache>
                <ptCount val="0"/>
              </strCache>
            </strRef>
          </cat>
          <val>
            <numRef>
              <f>'Regional_Summary'!$E$2:$E$10</f>
              <numCache>
                <formatCode>0.00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</row>
      <rowOff>0</rowOff>
    </from>
    <to>
      <col>14</col>
      <colOff>0</colOff>
      <row>17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10</col>
      <colOff>0</colOff>
      <row>1</row>
      <rowOff>0</rowOff>
    </from>
    <to>
      <col>18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19.20000076293945" customHeight="1">
      <c r="A1" s="7" t="inlineStr">
        <is>
          <t>Research Data and Analysis Package</t>
        </is>
      </c>
      <c r="B1" s="1" t="n"/>
      <c r="C1" s="1" t="n"/>
      <c r="D1" s="1" t="n"/>
      <c r="E1" s="1" t="n"/>
      <c r="F1" s="1" t="n"/>
      <c r="G1" s="1" t="n"/>
      <c r="H1" s="1" t="n"/>
    </row>
    <row r="3" ht="184.8000030517578" customHeight="1">
      <c r="A3" s="14" t="inlineStr">
        <is>
          <t>Paper</t>
        </is>
      </c>
      <c r="B3" s="15" t="inlineStr">
        <is>
          <t>Residential Construction Growth in Kyrgyzstan: Regional Patterns and Geographic Concentration, 2021 to 2025</t>
        </is>
      </c>
    </row>
    <row r="4" ht="66" customHeight="1">
      <c r="A4" s="14" t="inlineStr">
        <is>
          <t>Primary source</t>
        </is>
      </c>
      <c r="B4" s="15" t="inlineStr">
        <is>
          <t>https://stat.gov.kg/en/opendata/category/103/</t>
        </is>
      </c>
    </row>
    <row r="5" ht="79.19999694824219" customHeight="1">
      <c r="A5" s="14" t="inlineStr">
        <is>
          <t>Machine readable endpoint</t>
        </is>
      </c>
      <c r="B5" s="15" t="inlineStr">
        <is>
          <t>https://stat.gov.kg/en/opendata/category/103/json</t>
        </is>
      </c>
    </row>
    <row r="6" ht="52.79999923706055" customHeight="1">
      <c r="A6" s="14" t="inlineStr">
        <is>
          <t>Official unit</t>
        </is>
      </c>
      <c r="B6" s="15" t="inlineStr">
        <is>
          <t>Thousands of square meters</t>
        </is>
      </c>
    </row>
    <row r="7" ht="52.79999923706055" customHeight="1">
      <c r="A7" s="14" t="inlineStr">
        <is>
          <t>Primary measure</t>
        </is>
      </c>
      <c r="B7" s="15" t="inlineStr">
        <is>
          <t>Commissioned residential floor area</t>
        </is>
      </c>
    </row>
    <row r="8" ht="66" customHeight="1">
      <c r="A8" s="14" t="inlineStr">
        <is>
          <t>Coverage</t>
        </is>
      </c>
      <c r="B8" s="15" t="inlineStr">
        <is>
          <t>Nine reported territories, 2021 to 2025</t>
        </is>
      </c>
    </row>
    <row r="9" ht="39.59999847412109" customHeight="1">
      <c r="A9" s="14" t="inlineStr">
        <is>
          <t>Primary observations</t>
        </is>
      </c>
      <c r="B9" s="15" t="inlineStr">
        <is>
          <t>45</t>
        </is>
      </c>
    </row>
    <row r="10" ht="145.1999969482422" customHeight="1">
      <c r="A10" s="14" t="inlineStr">
        <is>
          <t>Raw preservation</t>
        </is>
      </c>
      <c r="B10" s="15" t="inlineStr">
        <is>
          <t>Construction_Raw reproduces the official source observations without derived edits.</t>
        </is>
      </c>
    </row>
    <row r="11" ht="277.2000122070312" customHeight="1">
      <c r="A11" s="14" t="inlineStr">
        <is>
          <t>Boundary caution</t>
        </is>
      </c>
      <c r="B11" s="15" t="inlineStr">
        <is>
          <t>Administrative territorial reform in 2024 changed city and regional boundaries, especially Bishkek and Osh. Regional comparisons spanning the reform require caution.</t>
        </is>
      </c>
    </row>
    <row r="12" ht="171.6000061035156" customHeight="1">
      <c r="A12" s="14" t="inlineStr">
        <is>
          <t>Population analysis</t>
        </is>
      </c>
      <c r="B12" s="15" t="inlineStr">
        <is>
          <t>Included as exploratory only because the same boundary reform affects denominator comparability.</t>
        </is>
      </c>
    </row>
    <row r="13" ht="132" customHeight="1">
      <c r="A13" s="14" t="inlineStr">
        <is>
          <t>Workbook logic</t>
        </is>
      </c>
      <c r="B13" s="15" t="inlineStr">
        <is>
          <t>Derived measures use formulas wherever practical so calculations remain auditable.</t>
        </is>
      </c>
    </row>
    <row r="14">
      <c r="A14" t="inlineStr">
        <is>
          <t>Version 2 additions</t>
        </is>
      </c>
      <c r="B14" t="inlineStr">
        <is>
          <t>Sheets Sensitivity_City_Region, HHI_Comparison, Robustness_TwoYearAvg, Decomposition_Contribution, Population_A1 were added; produced by reproduce_analysis_v2.py (reads the preserved JSON).</t>
        </is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24" customWidth="1" min="3" max="3"/>
    <col width="16" customWidth="1" min="4" max="4"/>
    <col width="60" customWidth="1" min="5" max="5"/>
  </cols>
  <sheetData>
    <row r="1">
      <c r="A1" s="22" t="inlineStr">
        <is>
          <t>source_region</t>
        </is>
      </c>
      <c r="B1" s="22" t="inlineStr">
        <is>
          <t>year</t>
        </is>
      </c>
      <c r="C1" s="22" t="inlineStr">
        <is>
          <t>residential_thousand_sqm</t>
        </is>
      </c>
      <c r="D1" s="22" t="inlineStr">
        <is>
          <t>unit</t>
        </is>
      </c>
      <c r="E1" s="22" t="inlineStr">
        <is>
          <t>source_url</t>
        </is>
      </c>
    </row>
    <row r="2">
      <c r="A2" s="15" t="inlineStr">
        <is>
          <t>Batken oblast</t>
        </is>
      </c>
      <c r="B2" s="15" t="n">
        <v>2021</v>
      </c>
      <c r="C2" s="44" t="n">
        <v>63.4</v>
      </c>
      <c r="D2" s="15" t="inlineStr">
        <is>
          <t>thous. sq.m.</t>
        </is>
      </c>
      <c r="E2" s="15" t="inlineStr">
        <is>
          <t>https://stat.gov.kg/en/opendata/category/103/json</t>
        </is>
      </c>
    </row>
    <row r="3">
      <c r="A3" s="15" t="inlineStr">
        <is>
          <t>Batken oblast</t>
        </is>
      </c>
      <c r="B3" s="15" t="n">
        <v>2022</v>
      </c>
      <c r="C3" s="44" t="n">
        <v>76.5</v>
      </c>
      <c r="D3" s="15" t="inlineStr">
        <is>
          <t>thous. sq.m.</t>
        </is>
      </c>
      <c r="E3" s="15" t="inlineStr">
        <is>
          <t>https://stat.gov.kg/en/opendata/category/103/json</t>
        </is>
      </c>
    </row>
    <row r="4">
      <c r="A4" s="15" t="inlineStr">
        <is>
          <t>Batken oblast</t>
        </is>
      </c>
      <c r="B4" s="15" t="n">
        <v>2023</v>
      </c>
      <c r="C4" s="44" t="n">
        <v>117.3</v>
      </c>
      <c r="D4" s="15" t="inlineStr">
        <is>
          <t>thous. sq.m.</t>
        </is>
      </c>
      <c r="E4" s="15" t="inlineStr">
        <is>
          <t>https://stat.gov.kg/en/opendata/category/103/json</t>
        </is>
      </c>
    </row>
    <row r="5">
      <c r="A5" s="15" t="inlineStr">
        <is>
          <t>Batken oblast</t>
        </is>
      </c>
      <c r="B5" s="15" t="n">
        <v>2024</v>
      </c>
      <c r="C5" s="44" t="n">
        <v>68.90000000000001</v>
      </c>
      <c r="D5" s="15" t="inlineStr">
        <is>
          <t>thous. sq.m.</t>
        </is>
      </c>
      <c r="E5" s="15" t="inlineStr">
        <is>
          <t>https://stat.gov.kg/en/opendata/category/103/json</t>
        </is>
      </c>
    </row>
    <row r="6">
      <c r="A6" s="15" t="inlineStr">
        <is>
          <t>Batken oblast</t>
        </is>
      </c>
      <c r="B6" s="15" t="n">
        <v>2025</v>
      </c>
      <c r="C6" s="44" t="n">
        <v>71.2</v>
      </c>
      <c r="D6" s="15" t="inlineStr">
        <is>
          <t>thous. sq.m.</t>
        </is>
      </c>
      <c r="E6" s="15" t="inlineStr">
        <is>
          <t>https://stat.gov.kg/en/opendata/category/103/json</t>
        </is>
      </c>
    </row>
    <row r="7">
      <c r="A7" s="15" t="inlineStr">
        <is>
          <t>Jalal-Abat oblast</t>
        </is>
      </c>
      <c r="B7" s="15" t="n">
        <v>2021</v>
      </c>
      <c r="C7" s="44" t="n">
        <v>186.1</v>
      </c>
      <c r="D7" s="15" t="inlineStr">
        <is>
          <t>thous. sq.m.</t>
        </is>
      </c>
      <c r="E7" s="15" t="inlineStr">
        <is>
          <t>https://stat.gov.kg/en/opendata/category/103/json</t>
        </is>
      </c>
    </row>
    <row r="8">
      <c r="A8" s="15" t="inlineStr">
        <is>
          <t>Jalal-Abat oblast</t>
        </is>
      </c>
      <c r="B8" s="15" t="n">
        <v>2022</v>
      </c>
      <c r="C8" s="44" t="n">
        <v>211.3</v>
      </c>
      <c r="D8" s="15" t="inlineStr">
        <is>
          <t>thous. sq.m.</t>
        </is>
      </c>
      <c r="E8" s="15" t="inlineStr">
        <is>
          <t>https://stat.gov.kg/en/opendata/category/103/json</t>
        </is>
      </c>
    </row>
    <row r="9">
      <c r="A9" s="15" t="inlineStr">
        <is>
          <t>Jalal-Abat oblast</t>
        </is>
      </c>
      <c r="B9" s="15" t="n">
        <v>2023</v>
      </c>
      <c r="C9" s="44" t="n">
        <v>267.7</v>
      </c>
      <c r="D9" s="15" t="inlineStr">
        <is>
          <t>thous. sq.m.</t>
        </is>
      </c>
      <c r="E9" s="15" t="inlineStr">
        <is>
          <t>https://stat.gov.kg/en/opendata/category/103/json</t>
        </is>
      </c>
    </row>
    <row r="10">
      <c r="A10" s="15" t="inlineStr">
        <is>
          <t>Jalal-Abat oblast</t>
        </is>
      </c>
      <c r="B10" s="15" t="n">
        <v>2024</v>
      </c>
      <c r="C10" s="44" t="n">
        <v>299.9</v>
      </c>
      <c r="D10" s="15" t="inlineStr">
        <is>
          <t>thous. sq.m.</t>
        </is>
      </c>
      <c r="E10" s="15" t="inlineStr">
        <is>
          <t>https://stat.gov.kg/en/opendata/category/103/json</t>
        </is>
      </c>
    </row>
    <row r="11">
      <c r="A11" s="15" t="inlineStr">
        <is>
          <t>Jalal-Abat oblast</t>
        </is>
      </c>
      <c r="B11" s="15" t="n">
        <v>2025</v>
      </c>
      <c r="C11" s="44" t="n">
        <v>311.8</v>
      </c>
      <c r="D11" s="15" t="inlineStr">
        <is>
          <t>thous. sq.m.</t>
        </is>
      </c>
      <c r="E11" s="15" t="inlineStr">
        <is>
          <t>https://stat.gov.kg/en/opendata/category/103/json</t>
        </is>
      </c>
    </row>
    <row r="12">
      <c r="A12" s="15" t="inlineStr">
        <is>
          <t>Yssyk-Kul oblast</t>
        </is>
      </c>
      <c r="B12" s="15" t="n">
        <v>2021</v>
      </c>
      <c r="C12" s="44" t="n">
        <v>85.8</v>
      </c>
      <c r="D12" s="15" t="inlineStr">
        <is>
          <t>thous. sq.m.</t>
        </is>
      </c>
      <c r="E12" s="15" t="inlineStr">
        <is>
          <t>https://stat.gov.kg/en/opendata/category/103/json</t>
        </is>
      </c>
    </row>
    <row r="13">
      <c r="A13" s="15" t="inlineStr">
        <is>
          <t>Yssyk-Kul oblast</t>
        </is>
      </c>
      <c r="B13" s="15" t="n">
        <v>2022</v>
      </c>
      <c r="C13" s="44" t="n">
        <v>89.2</v>
      </c>
      <c r="D13" s="15" t="inlineStr">
        <is>
          <t>thous. sq.m.</t>
        </is>
      </c>
      <c r="E13" s="15" t="inlineStr">
        <is>
          <t>https://stat.gov.kg/en/opendata/category/103/json</t>
        </is>
      </c>
    </row>
    <row r="14">
      <c r="A14" s="15" t="inlineStr">
        <is>
          <t>Yssyk-Kul oblast</t>
        </is>
      </c>
      <c r="B14" s="15" t="n">
        <v>2023</v>
      </c>
      <c r="C14" s="44" t="n">
        <v>63.9</v>
      </c>
      <c r="D14" s="15" t="inlineStr">
        <is>
          <t>thous. sq.m.</t>
        </is>
      </c>
      <c r="E14" s="15" t="inlineStr">
        <is>
          <t>https://stat.gov.kg/en/opendata/category/103/json</t>
        </is>
      </c>
    </row>
    <row r="15">
      <c r="A15" s="15" t="inlineStr">
        <is>
          <t>Yssyk-Kul oblast</t>
        </is>
      </c>
      <c r="B15" s="15" t="n">
        <v>2024</v>
      </c>
      <c r="C15" s="44" t="n">
        <v>82.90000000000001</v>
      </c>
      <c r="D15" s="15" t="inlineStr">
        <is>
          <t>thous. sq.m.</t>
        </is>
      </c>
      <c r="E15" s="15" t="inlineStr">
        <is>
          <t>https://stat.gov.kg/en/opendata/category/103/json</t>
        </is>
      </c>
    </row>
    <row r="16">
      <c r="A16" s="15" t="inlineStr">
        <is>
          <t>Yssyk-Kul oblast</t>
        </is>
      </c>
      <c r="B16" s="15" t="n">
        <v>2025</v>
      </c>
      <c r="C16" s="44" t="n">
        <v>86.3</v>
      </c>
      <c r="D16" s="15" t="inlineStr">
        <is>
          <t>thous. sq.m.</t>
        </is>
      </c>
      <c r="E16" s="15" t="inlineStr">
        <is>
          <t>https://stat.gov.kg/en/opendata/category/103/json</t>
        </is>
      </c>
    </row>
    <row r="17">
      <c r="A17" s="15" t="inlineStr">
        <is>
          <t>Naryn oblast</t>
        </is>
      </c>
      <c r="B17" s="15" t="n">
        <v>2021</v>
      </c>
      <c r="C17" s="44" t="n">
        <v>43.1</v>
      </c>
      <c r="D17" s="15" t="inlineStr">
        <is>
          <t>thous. sq.m.</t>
        </is>
      </c>
      <c r="E17" s="15" t="inlineStr">
        <is>
          <t>https://stat.gov.kg/en/opendata/category/103/json</t>
        </is>
      </c>
    </row>
    <row r="18">
      <c r="A18" s="15" t="inlineStr">
        <is>
          <t>Naryn oblast</t>
        </is>
      </c>
      <c r="B18" s="15" t="n">
        <v>2022</v>
      </c>
      <c r="C18" s="44" t="n">
        <v>40.1</v>
      </c>
      <c r="D18" s="15" t="inlineStr">
        <is>
          <t>thous. sq.m.</t>
        </is>
      </c>
      <c r="E18" s="15" t="inlineStr">
        <is>
          <t>https://stat.gov.kg/en/opendata/category/103/json</t>
        </is>
      </c>
    </row>
    <row r="19">
      <c r="A19" s="15" t="inlineStr">
        <is>
          <t>Naryn oblast</t>
        </is>
      </c>
      <c r="B19" s="15" t="n">
        <v>2023</v>
      </c>
      <c r="C19" s="44" t="n">
        <v>29.4</v>
      </c>
      <c r="D19" s="15" t="inlineStr">
        <is>
          <t>thous. sq.m.</t>
        </is>
      </c>
      <c r="E19" s="15" t="inlineStr">
        <is>
          <t>https://stat.gov.kg/en/opendata/category/103/json</t>
        </is>
      </c>
    </row>
    <row r="20">
      <c r="A20" s="15" t="inlineStr">
        <is>
          <t>Naryn oblast</t>
        </is>
      </c>
      <c r="B20" s="15" t="n">
        <v>2024</v>
      </c>
      <c r="C20" s="44" t="n">
        <v>32</v>
      </c>
      <c r="D20" s="15" t="inlineStr">
        <is>
          <t>thous. sq.m.</t>
        </is>
      </c>
      <c r="E20" s="15" t="inlineStr">
        <is>
          <t>https://stat.gov.kg/en/opendata/category/103/json</t>
        </is>
      </c>
    </row>
    <row r="21">
      <c r="A21" s="15" t="inlineStr">
        <is>
          <t>Naryn oblast</t>
        </is>
      </c>
      <c r="B21" s="15" t="n">
        <v>2025</v>
      </c>
      <c r="C21" s="44" t="n">
        <v>36.2</v>
      </c>
      <c r="D21" s="15" t="inlineStr">
        <is>
          <t>thous. sq.m.</t>
        </is>
      </c>
      <c r="E21" s="15" t="inlineStr">
        <is>
          <t>https://stat.gov.kg/en/opendata/category/103/json</t>
        </is>
      </c>
    </row>
    <row r="22">
      <c r="A22" s="15" t="inlineStr">
        <is>
          <t>Osh oblast</t>
        </is>
      </c>
      <c r="B22" s="15" t="n">
        <v>2021</v>
      </c>
      <c r="C22" s="44" t="n">
        <v>237.9</v>
      </c>
      <c r="D22" s="15" t="inlineStr">
        <is>
          <t>thous. sq.m.</t>
        </is>
      </c>
      <c r="E22" s="15" t="inlineStr">
        <is>
          <t>https://stat.gov.kg/en/opendata/category/103/json</t>
        </is>
      </c>
    </row>
    <row r="23">
      <c r="A23" s="15" t="inlineStr">
        <is>
          <t>Osh oblast</t>
        </is>
      </c>
      <c r="B23" s="15" t="n">
        <v>2022</v>
      </c>
      <c r="C23" s="44" t="n">
        <v>276.7</v>
      </c>
      <c r="D23" s="15" t="inlineStr">
        <is>
          <t>thous. sq.m.</t>
        </is>
      </c>
      <c r="E23" s="15" t="inlineStr">
        <is>
          <t>https://stat.gov.kg/en/opendata/category/103/json</t>
        </is>
      </c>
    </row>
    <row r="24">
      <c r="A24" s="15" t="inlineStr">
        <is>
          <t>Osh oblast</t>
        </is>
      </c>
      <c r="B24" s="15" t="n">
        <v>2023</v>
      </c>
      <c r="C24" s="44" t="n">
        <v>240.6</v>
      </c>
      <c r="D24" s="15" t="inlineStr">
        <is>
          <t>thous. sq.m.</t>
        </is>
      </c>
      <c r="E24" s="15" t="inlineStr">
        <is>
          <t>https://stat.gov.kg/en/opendata/category/103/json</t>
        </is>
      </c>
    </row>
    <row r="25">
      <c r="A25" s="15" t="inlineStr">
        <is>
          <t>Osh oblast</t>
        </is>
      </c>
      <c r="B25" s="15" t="n">
        <v>2024</v>
      </c>
      <c r="C25" s="44" t="n">
        <v>190.8</v>
      </c>
      <c r="D25" s="15" t="inlineStr">
        <is>
          <t>thous. sq.m.</t>
        </is>
      </c>
      <c r="E25" s="15" t="inlineStr">
        <is>
          <t>https://stat.gov.kg/en/opendata/category/103/json</t>
        </is>
      </c>
    </row>
    <row r="26">
      <c r="A26" s="15" t="inlineStr">
        <is>
          <t>Osh oblast</t>
        </is>
      </c>
      <c r="B26" s="15" t="n">
        <v>2025</v>
      </c>
      <c r="C26" s="44" t="n">
        <v>206.4</v>
      </c>
      <c r="D26" s="15" t="inlineStr">
        <is>
          <t>thous. sq.m.</t>
        </is>
      </c>
      <c r="E26" s="15" t="inlineStr">
        <is>
          <t>https://stat.gov.kg/en/opendata/category/103/json</t>
        </is>
      </c>
    </row>
    <row r="27">
      <c r="A27" s="15" t="inlineStr">
        <is>
          <t>Talas oblast</t>
        </is>
      </c>
      <c r="B27" s="15" t="n">
        <v>2021</v>
      </c>
      <c r="C27" s="44" t="n">
        <v>63.2</v>
      </c>
      <c r="D27" s="15" t="inlineStr">
        <is>
          <t>thous. sq.m.</t>
        </is>
      </c>
      <c r="E27" s="15" t="inlineStr">
        <is>
          <t>https://stat.gov.kg/en/opendata/category/103/json</t>
        </is>
      </c>
    </row>
    <row r="28">
      <c r="A28" s="15" t="inlineStr">
        <is>
          <t>Talas oblast</t>
        </is>
      </c>
      <c r="B28" s="15" t="n">
        <v>2022</v>
      </c>
      <c r="C28" s="44" t="n">
        <v>69</v>
      </c>
      <c r="D28" s="15" t="inlineStr">
        <is>
          <t>thous. sq.m.</t>
        </is>
      </c>
      <c r="E28" s="15" t="inlineStr">
        <is>
          <t>https://stat.gov.kg/en/opendata/category/103/json</t>
        </is>
      </c>
    </row>
    <row r="29">
      <c r="A29" s="15" t="inlineStr">
        <is>
          <t>Talas oblast</t>
        </is>
      </c>
      <c r="B29" s="15" t="n">
        <v>2023</v>
      </c>
      <c r="C29" s="44" t="n">
        <v>60.1</v>
      </c>
      <c r="D29" s="15" t="inlineStr">
        <is>
          <t>thous. sq.m.</t>
        </is>
      </c>
      <c r="E29" s="15" t="inlineStr">
        <is>
          <t>https://stat.gov.kg/en/opendata/category/103/json</t>
        </is>
      </c>
    </row>
    <row r="30">
      <c r="A30" s="15" t="inlineStr">
        <is>
          <t>Talas oblast</t>
        </is>
      </c>
      <c r="B30" s="15" t="n">
        <v>2024</v>
      </c>
      <c r="C30" s="44" t="n">
        <v>83.7</v>
      </c>
      <c r="D30" s="15" t="inlineStr">
        <is>
          <t>thous. sq.m.</t>
        </is>
      </c>
      <c r="E30" s="15" t="inlineStr">
        <is>
          <t>https://stat.gov.kg/en/opendata/category/103/json</t>
        </is>
      </c>
    </row>
    <row r="31">
      <c r="A31" s="15" t="inlineStr">
        <is>
          <t>Talas oblast</t>
        </is>
      </c>
      <c r="B31" s="15" t="n">
        <v>2025</v>
      </c>
      <c r="C31" s="44" t="n">
        <v>80.8</v>
      </c>
      <c r="D31" s="15" t="inlineStr">
        <is>
          <t>thous. sq.m.</t>
        </is>
      </c>
      <c r="E31" s="15" t="inlineStr">
        <is>
          <t>https://stat.gov.kg/en/opendata/category/103/json</t>
        </is>
      </c>
    </row>
    <row r="32">
      <c r="A32" s="15" t="inlineStr">
        <is>
          <t>Chui oblast</t>
        </is>
      </c>
      <c r="B32" s="15" t="n">
        <v>2021</v>
      </c>
      <c r="C32" s="44" t="n">
        <v>168.3</v>
      </c>
      <c r="D32" s="15" t="inlineStr">
        <is>
          <t>thous. sq.m.</t>
        </is>
      </c>
      <c r="E32" s="15" t="inlineStr">
        <is>
          <t>https://stat.gov.kg/en/opendata/category/103/json</t>
        </is>
      </c>
    </row>
    <row r="33">
      <c r="A33" s="15" t="inlineStr">
        <is>
          <t>Chui oblast</t>
        </is>
      </c>
      <c r="B33" s="15" t="n">
        <v>2022</v>
      </c>
      <c r="C33" s="44" t="n">
        <v>221.3</v>
      </c>
      <c r="D33" s="15" t="inlineStr">
        <is>
          <t>thous. sq.m.</t>
        </is>
      </c>
      <c r="E33" s="15" t="inlineStr">
        <is>
          <t>https://stat.gov.kg/en/opendata/category/103/json</t>
        </is>
      </c>
    </row>
    <row r="34">
      <c r="A34" s="15" t="inlineStr">
        <is>
          <t>Chui oblast</t>
        </is>
      </c>
      <c r="B34" s="15" t="n">
        <v>2023</v>
      </c>
      <c r="C34" s="44" t="n">
        <v>218.2</v>
      </c>
      <c r="D34" s="15" t="inlineStr">
        <is>
          <t>thous. sq.m.</t>
        </is>
      </c>
      <c r="E34" s="15" t="inlineStr">
        <is>
          <t>https://stat.gov.kg/en/opendata/category/103/json</t>
        </is>
      </c>
    </row>
    <row r="35">
      <c r="A35" s="15" t="inlineStr">
        <is>
          <t>Chui oblast</t>
        </is>
      </c>
      <c r="B35" s="15" t="n">
        <v>2024</v>
      </c>
      <c r="C35" s="44" t="n">
        <v>151.1</v>
      </c>
      <c r="D35" s="15" t="inlineStr">
        <is>
          <t>thous. sq.m.</t>
        </is>
      </c>
      <c r="E35" s="15" t="inlineStr">
        <is>
          <t>https://stat.gov.kg/en/opendata/category/103/json</t>
        </is>
      </c>
    </row>
    <row r="36">
      <c r="A36" s="15" t="inlineStr">
        <is>
          <t>Chui oblast</t>
        </is>
      </c>
      <c r="B36" s="15" t="n">
        <v>2025</v>
      </c>
      <c r="C36" s="44" t="n">
        <v>215.8</v>
      </c>
      <c r="D36" s="15" t="inlineStr">
        <is>
          <t>thous. sq.m.</t>
        </is>
      </c>
      <c r="E36" s="15" t="inlineStr">
        <is>
          <t>https://stat.gov.kg/en/opendata/category/103/json</t>
        </is>
      </c>
    </row>
    <row r="37">
      <c r="A37" s="15" t="inlineStr">
        <is>
          <t>Bishkek city</t>
        </is>
      </c>
      <c r="B37" s="15" t="n">
        <v>2021</v>
      </c>
      <c r="C37" s="44" t="n">
        <v>348.6</v>
      </c>
      <c r="D37" s="15" t="inlineStr">
        <is>
          <t>thous. sq.m.</t>
        </is>
      </c>
      <c r="E37" s="15" t="inlineStr">
        <is>
          <t>https://stat.gov.kg/en/opendata/category/103/json</t>
        </is>
      </c>
    </row>
    <row r="38">
      <c r="A38" s="15" t="inlineStr">
        <is>
          <t>Bishkek city</t>
        </is>
      </c>
      <c r="B38" s="15" t="n">
        <v>2022</v>
      </c>
      <c r="C38" s="44" t="n">
        <v>379.9</v>
      </c>
      <c r="D38" s="15" t="inlineStr">
        <is>
          <t>thous. sq.m.</t>
        </is>
      </c>
      <c r="E38" s="15" t="inlineStr">
        <is>
          <t>https://stat.gov.kg/en/opendata/category/103/json</t>
        </is>
      </c>
    </row>
    <row r="39">
      <c r="A39" s="15" t="inlineStr">
        <is>
          <t>Bishkek city</t>
        </is>
      </c>
      <c r="B39" s="15" t="n">
        <v>2023</v>
      </c>
      <c r="C39" s="44" t="n">
        <v>513.7</v>
      </c>
      <c r="D39" s="15" t="inlineStr">
        <is>
          <t>thous. sq.m.</t>
        </is>
      </c>
      <c r="E39" s="15" t="inlineStr">
        <is>
          <t>https://stat.gov.kg/en/opendata/category/103/json</t>
        </is>
      </c>
    </row>
    <row r="40">
      <c r="A40" s="15" t="inlineStr">
        <is>
          <t>Bishkek city</t>
        </is>
      </c>
      <c r="B40" s="15" t="n">
        <v>2024</v>
      </c>
      <c r="C40" s="44" t="n">
        <v>539.1</v>
      </c>
      <c r="D40" s="15" t="inlineStr">
        <is>
          <t>thous. sq.m.</t>
        </is>
      </c>
      <c r="E40" s="15" t="inlineStr">
        <is>
          <t>https://stat.gov.kg/en/opendata/category/103/json</t>
        </is>
      </c>
    </row>
    <row r="41">
      <c r="A41" s="15" t="inlineStr">
        <is>
          <t>Bishkek city</t>
        </is>
      </c>
      <c r="B41" s="15" t="n">
        <v>2025</v>
      </c>
      <c r="C41" s="44" t="n">
        <v>617</v>
      </c>
      <c r="D41" s="15" t="inlineStr">
        <is>
          <t>thous. sq.m.</t>
        </is>
      </c>
      <c r="E41" s="15" t="inlineStr">
        <is>
          <t>https://stat.gov.kg/en/opendata/category/103/json</t>
        </is>
      </c>
    </row>
    <row r="42">
      <c r="A42" s="15" t="inlineStr">
        <is>
          <t>Osh city</t>
        </is>
      </c>
      <c r="B42" s="15" t="n">
        <v>2021</v>
      </c>
      <c r="C42" s="44" t="n">
        <v>116.8</v>
      </c>
      <c r="D42" s="15" t="inlineStr">
        <is>
          <t>thous. sq.m.</t>
        </is>
      </c>
      <c r="E42" s="15" t="inlineStr">
        <is>
          <t>https://stat.gov.kg/en/opendata/category/103/json</t>
        </is>
      </c>
    </row>
    <row r="43">
      <c r="A43" s="15" t="inlineStr">
        <is>
          <t>Osh city</t>
        </is>
      </c>
      <c r="B43" s="15" t="n">
        <v>2022</v>
      </c>
      <c r="C43" s="44" t="n">
        <v>98.59999999999999</v>
      </c>
      <c r="D43" s="15" t="inlineStr">
        <is>
          <t>thous. sq.m.</t>
        </is>
      </c>
      <c r="E43" s="15" t="inlineStr">
        <is>
          <t>https://stat.gov.kg/en/opendata/category/103/json</t>
        </is>
      </c>
    </row>
    <row r="44">
      <c r="A44" s="15" t="inlineStr">
        <is>
          <t>Osh city</t>
        </is>
      </c>
      <c r="B44" s="15" t="n">
        <v>2023</v>
      </c>
      <c r="C44" s="44" t="n">
        <v>88</v>
      </c>
      <c r="D44" s="15" t="inlineStr">
        <is>
          <t>thous. sq.m.</t>
        </is>
      </c>
      <c r="E44" s="15" t="inlineStr">
        <is>
          <t>https://stat.gov.kg/en/opendata/category/103/json</t>
        </is>
      </c>
    </row>
    <row r="45">
      <c r="A45" s="15" t="inlineStr">
        <is>
          <t>Osh city</t>
        </is>
      </c>
      <c r="B45" s="15" t="n">
        <v>2024</v>
      </c>
      <c r="C45" s="44" t="n">
        <v>125</v>
      </c>
      <c r="D45" s="15" t="inlineStr">
        <is>
          <t>thous. sq.m.</t>
        </is>
      </c>
      <c r="E45" s="15" t="inlineStr">
        <is>
          <t>https://stat.gov.kg/en/opendata/category/103/json</t>
        </is>
      </c>
    </row>
    <row r="46">
      <c r="A46" s="15" t="inlineStr">
        <is>
          <t>Osh city</t>
        </is>
      </c>
      <c r="B46" s="15" t="n">
        <v>2025</v>
      </c>
      <c r="C46" s="44" t="n">
        <v>194.4</v>
      </c>
      <c r="D46" s="15" t="inlineStr">
        <is>
          <t>thous. sq.m.</t>
        </is>
      </c>
      <c r="E46" s="15" t="inlineStr">
        <is>
          <t>https://stat.gov.kg/en/opendata/category/103/json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48" customWidth="1" min="3" max="3"/>
    <col width="28" customWidth="1" min="4" max="4"/>
  </cols>
  <sheetData>
    <row r="1">
      <c r="A1" s="22" t="inlineStr">
        <is>
          <t>step</t>
        </is>
      </c>
      <c r="B1" s="22" t="inlineStr">
        <is>
          <t>operation</t>
        </is>
      </c>
      <c r="C1" s="22" t="inlineStr">
        <is>
          <t>rationale</t>
        </is>
      </c>
      <c r="D1" s="22" t="inlineStr">
        <is>
          <t>effect_on_values</t>
        </is>
      </c>
    </row>
    <row r="2">
      <c r="A2" s="15" t="n">
        <v>1</v>
      </c>
      <c r="B2" s="15" t="inlineStr">
        <is>
          <t>Preserved official observations in Construction_Raw</t>
        </is>
      </c>
      <c r="C2" s="15" t="inlineStr">
        <is>
          <t>Maintain an untouched analytical audit trail</t>
        </is>
      </c>
      <c r="D2" s="15" t="inlineStr">
        <is>
          <t>None</t>
        </is>
      </c>
    </row>
    <row r="3">
      <c r="A3" s="15" t="n">
        <v>2</v>
      </c>
      <c r="B3" s="15" t="inlineStr">
        <is>
          <t>Standardized English territory names</t>
        </is>
      </c>
      <c r="C3" s="15" t="inlineStr">
        <is>
          <t>Use consistent manuscript terminology</t>
        </is>
      </c>
      <c r="D3" s="15" t="inlineStr">
        <is>
          <t>Names only</t>
        </is>
      </c>
    </row>
    <row r="4">
      <c r="A4" s="15" t="n">
        <v>3</v>
      </c>
      <c r="B4" s="15" t="inlineStr">
        <is>
          <t>Converted thousands of square meters to square meters</t>
        </is>
      </c>
      <c r="C4" s="15" t="inlineStr">
        <is>
          <t>Create residential_sqm using multiplication by 1000</t>
        </is>
      </c>
      <c r="D4" s="15" t="inlineStr">
        <is>
          <t>Unit conversion only</t>
        </is>
      </c>
    </row>
    <row r="5">
      <c r="A5" s="15" t="n">
        <v>4</v>
      </c>
      <c r="B5" s="15" t="inlineStr">
        <is>
          <t>Reshaped data to long format</t>
        </is>
      </c>
      <c r="C5" s="15" t="inlineStr">
        <is>
          <t>One territory year observation per row</t>
        </is>
      </c>
      <c r="D5" s="15" t="inlineStr">
        <is>
          <t>None</t>
        </is>
      </c>
    </row>
    <row r="6">
      <c r="A6" s="15" t="n">
        <v>5</v>
      </c>
      <c r="B6" s="15" t="inlineStr">
        <is>
          <t>Calculated totals, growth, CAGR, shares, index, and HHI</t>
        </is>
      </c>
      <c r="C6" s="15" t="inlineStr">
        <is>
          <t>Answer RQ1 to RQ4 reproducibly</t>
        </is>
      </c>
      <c r="D6" s="15" t="inlineStr">
        <is>
          <t>Derived variables only</t>
        </is>
      </c>
    </row>
    <row r="7">
      <c r="A7" s="15" t="n">
        <v>6</v>
      </c>
      <c r="B7" s="15" t="inlineStr">
        <is>
          <t>Added 2021 to 2025 population as exploratory data</t>
        </is>
      </c>
      <c r="C7" s="15" t="inlineStr">
        <is>
          <t>Optional intensity analysis</t>
        </is>
      </c>
      <c r="D7" s="15" t="inlineStr">
        <is>
          <t>No change to construction values</t>
        </is>
      </c>
    </row>
    <row r="8">
      <c r="A8" s="15" t="n">
        <v>7</v>
      </c>
      <c r="B8" s="15" t="inlineStr">
        <is>
          <t>Flagged 2024 administrative territorial reform</t>
        </is>
      </c>
      <c r="C8" s="15" t="inlineStr">
        <is>
          <t>Avoid silent comparison of changing territorial boundaries</t>
        </is>
      </c>
      <c r="D8" s="15" t="inlineStr">
        <is>
          <t>Interpretive limitation only</t>
        </is>
      </c>
    </row>
    <row r="9">
      <c r="A9" t="n">
        <v>8</v>
      </c>
      <c r="B9" t="inlineStr">
        <is>
          <t>Verified all 45 clean values against preserved JSON extract (max difference 0.0)</t>
        </is>
      </c>
      <c r="C9" t="inlineStr">
        <is>
          <t>Independent audit of transcription</t>
        </is>
      </c>
      <c r="D9" t="inlineStr">
        <is>
          <t>None</t>
        </is>
      </c>
    </row>
    <row r="10">
      <c r="A10" t="n">
        <v>9</v>
      </c>
      <c r="B10" t="inlineStr">
        <is>
          <t>Added city+region sensitivity, normalized HHI, two-year averages, contribution decomposition</t>
        </is>
      </c>
      <c r="C10" t="inlineStr">
        <is>
          <t>Address 2024 boundary reform and endpoint sensitivity</t>
        </is>
      </c>
      <c r="D10" t="inlineStr">
        <is>
          <t>Derived variables only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</cols>
  <sheetData>
    <row r="1">
      <c r="A1" s="22" t="inlineStr">
        <is>
          <t>year</t>
        </is>
      </c>
      <c r="B1" s="22" t="inlineStr">
        <is>
          <t>region</t>
        </is>
      </c>
      <c r="C1" s="22" t="inlineStr">
        <is>
          <t>residential_thousand_sqm</t>
        </is>
      </c>
      <c r="D1" s="22" t="inlineStr">
        <is>
          <t>residential_sqm</t>
        </is>
      </c>
      <c r="E1" s="22" t="inlineStr">
        <is>
          <t>national_total_sqm</t>
        </is>
      </c>
      <c r="F1" s="22" t="inlineStr">
        <is>
          <t>regional_share_pct</t>
        </is>
      </c>
      <c r="G1" s="22" t="inlineStr">
        <is>
          <t>annual_growth_pct</t>
        </is>
      </c>
      <c r="H1" s="22" t="inlineStr">
        <is>
          <t>regional_growth_2021_2025_pct</t>
        </is>
      </c>
      <c r="I1" s="22" t="inlineStr">
        <is>
          <t>cagr_2021_2025_pct</t>
        </is>
      </c>
      <c r="J1" s="22" t="inlineStr">
        <is>
          <t>regional_share_change_pp</t>
        </is>
      </c>
      <c r="K1" s="22" t="inlineStr">
        <is>
          <t>index_2021</t>
        </is>
      </c>
      <c r="L1" s="22" t="inlineStr">
        <is>
          <t>hhi</t>
        </is>
      </c>
    </row>
    <row r="2">
      <c r="A2" s="15" t="n">
        <v>2021</v>
      </c>
      <c r="B2" s="15" t="inlineStr">
        <is>
          <t>Batken Region</t>
        </is>
      </c>
      <c r="C2" s="44" t="n">
        <v>63.4</v>
      </c>
      <c r="D2" s="45">
        <f>C2*1000</f>
        <v/>
      </c>
      <c r="E2" s="45">
        <f>SUM($D$2:$D$10)</f>
        <v/>
      </c>
      <c r="F2" s="46">
        <f>D2/E2*100</f>
        <v/>
      </c>
      <c r="G2" s="46" t="n"/>
      <c r="H2" s="46">
        <f>(C$38/C$2-1)*100</f>
        <v/>
      </c>
      <c r="I2" s="46">
        <f>((C$38/C$2)^(1/4)-1)*100</f>
        <v/>
      </c>
      <c r="J2" s="46">
        <f>F$38-F$2</f>
        <v/>
      </c>
      <c r="K2" s="44">
        <f>C2/C$2*100</f>
        <v/>
      </c>
      <c r="L2" s="47">
        <f>(F2/100)^2+(F3/100)^2+(F4/100)^2+(F5/100)^2+(F6/100)^2+(F7/100)^2+(F8/100)^2+(F9/100)^2+(F10/100)^2</f>
        <v/>
      </c>
    </row>
    <row r="3">
      <c r="A3" s="15" t="n">
        <v>2021</v>
      </c>
      <c r="B3" s="15" t="inlineStr">
        <is>
          <t>Jalal Abad Region</t>
        </is>
      </c>
      <c r="C3" s="44" t="n">
        <v>186.1</v>
      </c>
      <c r="D3" s="45">
        <f>C3*1000</f>
        <v/>
      </c>
      <c r="E3" s="45">
        <f>SUM($D$2:$D$10)</f>
        <v/>
      </c>
      <c r="F3" s="46">
        <f>D3/E3*100</f>
        <v/>
      </c>
      <c r="G3" s="46" t="n"/>
      <c r="H3" s="46">
        <f>(C$39/C$3-1)*100</f>
        <v/>
      </c>
      <c r="I3" s="46">
        <f>((C$39/C$3)^(1/4)-1)*100</f>
        <v/>
      </c>
      <c r="J3" s="46">
        <f>F$39-F$3</f>
        <v/>
      </c>
      <c r="K3" s="44">
        <f>C3/C$3*100</f>
        <v/>
      </c>
      <c r="L3" s="47">
        <f>(F2/100)^2+(F3/100)^2+(F4/100)^2+(F5/100)^2+(F6/100)^2+(F7/100)^2+(F8/100)^2+(F9/100)^2+(F10/100)^2</f>
        <v/>
      </c>
    </row>
    <row r="4">
      <c r="A4" s="15" t="n">
        <v>2021</v>
      </c>
      <c r="B4" s="15" t="inlineStr">
        <is>
          <t>Issyk Kul Region</t>
        </is>
      </c>
      <c r="C4" s="44" t="n">
        <v>85.8</v>
      </c>
      <c r="D4" s="45">
        <f>C4*1000</f>
        <v/>
      </c>
      <c r="E4" s="45">
        <f>SUM($D$2:$D$10)</f>
        <v/>
      </c>
      <c r="F4" s="46">
        <f>D4/E4*100</f>
        <v/>
      </c>
      <c r="G4" s="46" t="n"/>
      <c r="H4" s="46">
        <f>(C$40/C$4-1)*100</f>
        <v/>
      </c>
      <c r="I4" s="46">
        <f>((C$40/C$4)^(1/4)-1)*100</f>
        <v/>
      </c>
      <c r="J4" s="46">
        <f>F$40-F$4</f>
        <v/>
      </c>
      <c r="K4" s="44">
        <f>C4/C$4*100</f>
        <v/>
      </c>
      <c r="L4" s="47">
        <f>(F2/100)^2+(F3/100)^2+(F4/100)^2+(F5/100)^2+(F6/100)^2+(F7/100)^2+(F8/100)^2+(F9/100)^2+(F10/100)^2</f>
        <v/>
      </c>
    </row>
    <row r="5">
      <c r="A5" s="15" t="n">
        <v>2021</v>
      </c>
      <c r="B5" s="15" t="inlineStr">
        <is>
          <t>Naryn Region</t>
        </is>
      </c>
      <c r="C5" s="44" t="n">
        <v>43.1</v>
      </c>
      <c r="D5" s="45">
        <f>C5*1000</f>
        <v/>
      </c>
      <c r="E5" s="45">
        <f>SUM($D$2:$D$10)</f>
        <v/>
      </c>
      <c r="F5" s="46">
        <f>D5/E5*100</f>
        <v/>
      </c>
      <c r="G5" s="46" t="n"/>
      <c r="H5" s="46">
        <f>(C$41/C$5-1)*100</f>
        <v/>
      </c>
      <c r="I5" s="46">
        <f>((C$41/C$5)^(1/4)-1)*100</f>
        <v/>
      </c>
      <c r="J5" s="46">
        <f>F$41-F$5</f>
        <v/>
      </c>
      <c r="K5" s="44">
        <f>C5/C$5*100</f>
        <v/>
      </c>
      <c r="L5" s="47">
        <f>(F2/100)^2+(F3/100)^2+(F4/100)^2+(F5/100)^2+(F6/100)^2+(F7/100)^2+(F8/100)^2+(F9/100)^2+(F10/100)^2</f>
        <v/>
      </c>
    </row>
    <row r="6">
      <c r="A6" s="15" t="n">
        <v>2021</v>
      </c>
      <c r="B6" s="15" t="inlineStr">
        <is>
          <t>Osh Region</t>
        </is>
      </c>
      <c r="C6" s="44" t="n">
        <v>237.9</v>
      </c>
      <c r="D6" s="45">
        <f>C6*1000</f>
        <v/>
      </c>
      <c r="E6" s="45">
        <f>SUM($D$2:$D$10)</f>
        <v/>
      </c>
      <c r="F6" s="46">
        <f>D6/E6*100</f>
        <v/>
      </c>
      <c r="G6" s="46" t="n"/>
      <c r="H6" s="46">
        <f>(C$42/C$6-1)*100</f>
        <v/>
      </c>
      <c r="I6" s="46">
        <f>((C$42/C$6)^(1/4)-1)*100</f>
        <v/>
      </c>
      <c r="J6" s="46">
        <f>F$42-F$6</f>
        <v/>
      </c>
      <c r="K6" s="44">
        <f>C6/C$6*100</f>
        <v/>
      </c>
      <c r="L6" s="47">
        <f>(F2/100)^2+(F3/100)^2+(F4/100)^2+(F5/100)^2+(F6/100)^2+(F7/100)^2+(F8/100)^2+(F9/100)^2+(F10/100)^2</f>
        <v/>
      </c>
    </row>
    <row r="7">
      <c r="A7" s="15" t="n">
        <v>2021</v>
      </c>
      <c r="B7" s="15" t="inlineStr">
        <is>
          <t>Talas Region</t>
        </is>
      </c>
      <c r="C7" s="44" t="n">
        <v>63.2</v>
      </c>
      <c r="D7" s="45">
        <f>C7*1000</f>
        <v/>
      </c>
      <c r="E7" s="45">
        <f>SUM($D$2:$D$10)</f>
        <v/>
      </c>
      <c r="F7" s="46">
        <f>D7/E7*100</f>
        <v/>
      </c>
      <c r="G7" s="46" t="n"/>
      <c r="H7" s="46">
        <f>(C$43/C$7-1)*100</f>
        <v/>
      </c>
      <c r="I7" s="46">
        <f>((C$43/C$7)^(1/4)-1)*100</f>
        <v/>
      </c>
      <c r="J7" s="46">
        <f>F$43-F$7</f>
        <v/>
      </c>
      <c r="K7" s="44">
        <f>C7/C$7*100</f>
        <v/>
      </c>
      <c r="L7" s="47">
        <f>(F2/100)^2+(F3/100)^2+(F4/100)^2+(F5/100)^2+(F6/100)^2+(F7/100)^2+(F8/100)^2+(F9/100)^2+(F10/100)^2</f>
        <v/>
      </c>
    </row>
    <row r="8">
      <c r="A8" s="15" t="n">
        <v>2021</v>
      </c>
      <c r="B8" s="15" t="inlineStr">
        <is>
          <t>Chui Region</t>
        </is>
      </c>
      <c r="C8" s="44" t="n">
        <v>168.3</v>
      </c>
      <c r="D8" s="45">
        <f>C8*1000</f>
        <v/>
      </c>
      <c r="E8" s="45">
        <f>SUM($D$2:$D$10)</f>
        <v/>
      </c>
      <c r="F8" s="46">
        <f>D8/E8*100</f>
        <v/>
      </c>
      <c r="G8" s="46" t="n"/>
      <c r="H8" s="46">
        <f>(C$44/C$8-1)*100</f>
        <v/>
      </c>
      <c r="I8" s="46">
        <f>((C$44/C$8)^(1/4)-1)*100</f>
        <v/>
      </c>
      <c r="J8" s="46">
        <f>F$44-F$8</f>
        <v/>
      </c>
      <c r="K8" s="44">
        <f>C8/C$8*100</f>
        <v/>
      </c>
      <c r="L8" s="47">
        <f>(F2/100)^2+(F3/100)^2+(F4/100)^2+(F5/100)^2+(F6/100)^2+(F7/100)^2+(F8/100)^2+(F9/100)^2+(F10/100)^2</f>
        <v/>
      </c>
    </row>
    <row r="9">
      <c r="A9" s="15" t="n">
        <v>2021</v>
      </c>
      <c r="B9" s="15" t="inlineStr">
        <is>
          <t>Bishkek City</t>
        </is>
      </c>
      <c r="C9" s="44" t="n">
        <v>348.6</v>
      </c>
      <c r="D9" s="45">
        <f>C9*1000</f>
        <v/>
      </c>
      <c r="E9" s="45">
        <f>SUM($D$2:$D$10)</f>
        <v/>
      </c>
      <c r="F9" s="46">
        <f>D9/E9*100</f>
        <v/>
      </c>
      <c r="G9" s="46" t="n"/>
      <c r="H9" s="46">
        <f>(C$45/C$9-1)*100</f>
        <v/>
      </c>
      <c r="I9" s="46">
        <f>((C$45/C$9)^(1/4)-1)*100</f>
        <v/>
      </c>
      <c r="J9" s="46">
        <f>F$45-F$9</f>
        <v/>
      </c>
      <c r="K9" s="44">
        <f>C9/C$9*100</f>
        <v/>
      </c>
      <c r="L9" s="47">
        <f>(F2/100)^2+(F3/100)^2+(F4/100)^2+(F5/100)^2+(F6/100)^2+(F7/100)^2+(F8/100)^2+(F9/100)^2+(F10/100)^2</f>
        <v/>
      </c>
    </row>
    <row r="10">
      <c r="A10" s="15" t="n">
        <v>2021</v>
      </c>
      <c r="B10" s="15" t="inlineStr">
        <is>
          <t>Osh City</t>
        </is>
      </c>
      <c r="C10" s="44" t="n">
        <v>116.8</v>
      </c>
      <c r="D10" s="45">
        <f>C10*1000</f>
        <v/>
      </c>
      <c r="E10" s="45">
        <f>SUM($D$2:$D$10)</f>
        <v/>
      </c>
      <c r="F10" s="46">
        <f>D10/E10*100</f>
        <v/>
      </c>
      <c r="G10" s="46" t="n"/>
      <c r="H10" s="46">
        <f>(C$46/C$10-1)*100</f>
        <v/>
      </c>
      <c r="I10" s="46">
        <f>((C$46/C$10)^(1/4)-1)*100</f>
        <v/>
      </c>
      <c r="J10" s="46">
        <f>F$46-F$10</f>
        <v/>
      </c>
      <c r="K10" s="44">
        <f>C10/C$10*100</f>
        <v/>
      </c>
      <c r="L10" s="47">
        <f>(F2/100)^2+(F3/100)^2+(F4/100)^2+(F5/100)^2+(F6/100)^2+(F7/100)^2+(F8/100)^2+(F9/100)^2+(F10/100)^2</f>
        <v/>
      </c>
    </row>
    <row r="11">
      <c r="A11" s="15" t="n">
        <v>2022</v>
      </c>
      <c r="B11" s="15" t="inlineStr">
        <is>
          <t>Batken Region</t>
        </is>
      </c>
      <c r="C11" s="44" t="n">
        <v>76.5</v>
      </c>
      <c r="D11" s="45">
        <f>C11*1000</f>
        <v/>
      </c>
      <c r="E11" s="45">
        <f>SUM($D$11:$D$19)</f>
        <v/>
      </c>
      <c r="F11" s="46">
        <f>D11/E11*100</f>
        <v/>
      </c>
      <c r="G11" s="46">
        <f>(C11/C2-1)*100</f>
        <v/>
      </c>
      <c r="H11" s="46">
        <f>(C$38/C$2-1)*100</f>
        <v/>
      </c>
      <c r="I11" s="46">
        <f>((C$38/C$2)^(1/4)-1)*100</f>
        <v/>
      </c>
      <c r="J11" s="46">
        <f>F$38-F$2</f>
        <v/>
      </c>
      <c r="K11" s="44">
        <f>C11/C$2*100</f>
        <v/>
      </c>
      <c r="L11" s="47">
        <f>(F11/100)^2+(F12/100)^2+(F13/100)^2+(F14/100)^2+(F15/100)^2+(F16/100)^2+(F17/100)^2+(F18/100)^2+(F19/100)^2</f>
        <v/>
      </c>
    </row>
    <row r="12">
      <c r="A12" s="15" t="n">
        <v>2022</v>
      </c>
      <c r="B12" s="15" t="inlineStr">
        <is>
          <t>Jalal Abad Region</t>
        </is>
      </c>
      <c r="C12" s="44" t="n">
        <v>211.3</v>
      </c>
      <c r="D12" s="45">
        <f>C12*1000</f>
        <v/>
      </c>
      <c r="E12" s="45">
        <f>SUM($D$11:$D$19)</f>
        <v/>
      </c>
      <c r="F12" s="46">
        <f>D12/E12*100</f>
        <v/>
      </c>
      <c r="G12" s="46">
        <f>(C12/C3-1)*100</f>
        <v/>
      </c>
      <c r="H12" s="46">
        <f>(C$39/C$3-1)*100</f>
        <v/>
      </c>
      <c r="I12" s="46">
        <f>((C$39/C$3)^(1/4)-1)*100</f>
        <v/>
      </c>
      <c r="J12" s="46">
        <f>F$39-F$3</f>
        <v/>
      </c>
      <c r="K12" s="44">
        <f>C12/C$3*100</f>
        <v/>
      </c>
      <c r="L12" s="47">
        <f>(F11/100)^2+(F12/100)^2+(F13/100)^2+(F14/100)^2+(F15/100)^2+(F16/100)^2+(F17/100)^2+(F18/100)^2+(F19/100)^2</f>
        <v/>
      </c>
    </row>
    <row r="13">
      <c r="A13" s="15" t="n">
        <v>2022</v>
      </c>
      <c r="B13" s="15" t="inlineStr">
        <is>
          <t>Issyk Kul Region</t>
        </is>
      </c>
      <c r="C13" s="44" t="n">
        <v>89.2</v>
      </c>
      <c r="D13" s="45">
        <f>C13*1000</f>
        <v/>
      </c>
      <c r="E13" s="45">
        <f>SUM($D$11:$D$19)</f>
        <v/>
      </c>
      <c r="F13" s="46">
        <f>D13/E13*100</f>
        <v/>
      </c>
      <c r="G13" s="46">
        <f>(C13/C4-1)*100</f>
        <v/>
      </c>
      <c r="H13" s="46">
        <f>(C$40/C$4-1)*100</f>
        <v/>
      </c>
      <c r="I13" s="46">
        <f>((C$40/C$4)^(1/4)-1)*100</f>
        <v/>
      </c>
      <c r="J13" s="46">
        <f>F$40-F$4</f>
        <v/>
      </c>
      <c r="K13" s="44">
        <f>C13/C$4*100</f>
        <v/>
      </c>
      <c r="L13" s="47">
        <f>(F11/100)^2+(F12/100)^2+(F13/100)^2+(F14/100)^2+(F15/100)^2+(F16/100)^2+(F17/100)^2+(F18/100)^2+(F19/100)^2</f>
        <v/>
      </c>
    </row>
    <row r="14">
      <c r="A14" s="15" t="n">
        <v>2022</v>
      </c>
      <c r="B14" s="15" t="inlineStr">
        <is>
          <t>Naryn Region</t>
        </is>
      </c>
      <c r="C14" s="44" t="n">
        <v>40.1</v>
      </c>
      <c r="D14" s="45">
        <f>C14*1000</f>
        <v/>
      </c>
      <c r="E14" s="45">
        <f>SUM($D$11:$D$19)</f>
        <v/>
      </c>
      <c r="F14" s="46">
        <f>D14/E14*100</f>
        <v/>
      </c>
      <c r="G14" s="46">
        <f>(C14/C5-1)*100</f>
        <v/>
      </c>
      <c r="H14" s="46">
        <f>(C$41/C$5-1)*100</f>
        <v/>
      </c>
      <c r="I14" s="46">
        <f>((C$41/C$5)^(1/4)-1)*100</f>
        <v/>
      </c>
      <c r="J14" s="46">
        <f>F$41-F$5</f>
        <v/>
      </c>
      <c r="K14" s="44">
        <f>C14/C$5*100</f>
        <v/>
      </c>
      <c r="L14" s="47">
        <f>(F11/100)^2+(F12/100)^2+(F13/100)^2+(F14/100)^2+(F15/100)^2+(F16/100)^2+(F17/100)^2+(F18/100)^2+(F19/100)^2</f>
        <v/>
      </c>
    </row>
    <row r="15">
      <c r="A15" s="15" t="n">
        <v>2022</v>
      </c>
      <c r="B15" s="15" t="inlineStr">
        <is>
          <t>Osh Region</t>
        </is>
      </c>
      <c r="C15" s="44" t="n">
        <v>276.7</v>
      </c>
      <c r="D15" s="45">
        <f>C15*1000</f>
        <v/>
      </c>
      <c r="E15" s="45">
        <f>SUM($D$11:$D$19)</f>
        <v/>
      </c>
      <c r="F15" s="46">
        <f>D15/E15*100</f>
        <v/>
      </c>
      <c r="G15" s="46">
        <f>(C15/C6-1)*100</f>
        <v/>
      </c>
      <c r="H15" s="46">
        <f>(C$42/C$6-1)*100</f>
        <v/>
      </c>
      <c r="I15" s="46">
        <f>((C$42/C$6)^(1/4)-1)*100</f>
        <v/>
      </c>
      <c r="J15" s="46">
        <f>F$42-F$6</f>
        <v/>
      </c>
      <c r="K15" s="44">
        <f>C15/C$6*100</f>
        <v/>
      </c>
      <c r="L15" s="47">
        <f>(F11/100)^2+(F12/100)^2+(F13/100)^2+(F14/100)^2+(F15/100)^2+(F16/100)^2+(F17/100)^2+(F18/100)^2+(F19/100)^2</f>
        <v/>
      </c>
    </row>
    <row r="16">
      <c r="A16" s="15" t="n">
        <v>2022</v>
      </c>
      <c r="B16" s="15" t="inlineStr">
        <is>
          <t>Talas Region</t>
        </is>
      </c>
      <c r="C16" s="44" t="n">
        <v>69</v>
      </c>
      <c r="D16" s="45">
        <f>C16*1000</f>
        <v/>
      </c>
      <c r="E16" s="45">
        <f>SUM($D$11:$D$19)</f>
        <v/>
      </c>
      <c r="F16" s="46">
        <f>D16/E16*100</f>
        <v/>
      </c>
      <c r="G16" s="46">
        <f>(C16/C7-1)*100</f>
        <v/>
      </c>
      <c r="H16" s="46">
        <f>(C$43/C$7-1)*100</f>
        <v/>
      </c>
      <c r="I16" s="46">
        <f>((C$43/C$7)^(1/4)-1)*100</f>
        <v/>
      </c>
      <c r="J16" s="46">
        <f>F$43-F$7</f>
        <v/>
      </c>
      <c r="K16" s="44">
        <f>C16/C$7*100</f>
        <v/>
      </c>
      <c r="L16" s="47">
        <f>(F11/100)^2+(F12/100)^2+(F13/100)^2+(F14/100)^2+(F15/100)^2+(F16/100)^2+(F17/100)^2+(F18/100)^2+(F19/100)^2</f>
        <v/>
      </c>
    </row>
    <row r="17">
      <c r="A17" s="15" t="n">
        <v>2022</v>
      </c>
      <c r="B17" s="15" t="inlineStr">
        <is>
          <t>Chui Region</t>
        </is>
      </c>
      <c r="C17" s="44" t="n">
        <v>221.3</v>
      </c>
      <c r="D17" s="45">
        <f>C17*1000</f>
        <v/>
      </c>
      <c r="E17" s="45">
        <f>SUM($D$11:$D$19)</f>
        <v/>
      </c>
      <c r="F17" s="46">
        <f>D17/E17*100</f>
        <v/>
      </c>
      <c r="G17" s="46">
        <f>(C17/C8-1)*100</f>
        <v/>
      </c>
      <c r="H17" s="46">
        <f>(C$44/C$8-1)*100</f>
        <v/>
      </c>
      <c r="I17" s="46">
        <f>((C$44/C$8)^(1/4)-1)*100</f>
        <v/>
      </c>
      <c r="J17" s="46">
        <f>F$44-F$8</f>
        <v/>
      </c>
      <c r="K17" s="44">
        <f>C17/C$8*100</f>
        <v/>
      </c>
      <c r="L17" s="47">
        <f>(F11/100)^2+(F12/100)^2+(F13/100)^2+(F14/100)^2+(F15/100)^2+(F16/100)^2+(F17/100)^2+(F18/100)^2+(F19/100)^2</f>
        <v/>
      </c>
    </row>
    <row r="18">
      <c r="A18" s="15" t="n">
        <v>2022</v>
      </c>
      <c r="B18" s="15" t="inlineStr">
        <is>
          <t>Bishkek City</t>
        </is>
      </c>
      <c r="C18" s="44" t="n">
        <v>379.9</v>
      </c>
      <c r="D18" s="45">
        <f>C18*1000</f>
        <v/>
      </c>
      <c r="E18" s="45">
        <f>SUM($D$11:$D$19)</f>
        <v/>
      </c>
      <c r="F18" s="46">
        <f>D18/E18*100</f>
        <v/>
      </c>
      <c r="G18" s="46">
        <f>(C18/C9-1)*100</f>
        <v/>
      </c>
      <c r="H18" s="46">
        <f>(C$45/C$9-1)*100</f>
        <v/>
      </c>
      <c r="I18" s="46">
        <f>((C$45/C$9)^(1/4)-1)*100</f>
        <v/>
      </c>
      <c r="J18" s="46">
        <f>F$45-F$9</f>
        <v/>
      </c>
      <c r="K18" s="44">
        <f>C18/C$9*100</f>
        <v/>
      </c>
      <c r="L18" s="47">
        <f>(F11/100)^2+(F12/100)^2+(F13/100)^2+(F14/100)^2+(F15/100)^2+(F16/100)^2+(F17/100)^2+(F18/100)^2+(F19/100)^2</f>
        <v/>
      </c>
    </row>
    <row r="19">
      <c r="A19" s="15" t="n">
        <v>2022</v>
      </c>
      <c r="B19" s="15" t="inlineStr">
        <is>
          <t>Osh City</t>
        </is>
      </c>
      <c r="C19" s="44" t="n">
        <v>98.59999999999999</v>
      </c>
      <c r="D19" s="45">
        <f>C19*1000</f>
        <v/>
      </c>
      <c r="E19" s="45">
        <f>SUM($D$11:$D$19)</f>
        <v/>
      </c>
      <c r="F19" s="46">
        <f>D19/E19*100</f>
        <v/>
      </c>
      <c r="G19" s="46">
        <f>(C19/C10-1)*100</f>
        <v/>
      </c>
      <c r="H19" s="46">
        <f>(C$46/C$10-1)*100</f>
        <v/>
      </c>
      <c r="I19" s="46">
        <f>((C$46/C$10)^(1/4)-1)*100</f>
        <v/>
      </c>
      <c r="J19" s="46">
        <f>F$46-F$10</f>
        <v/>
      </c>
      <c r="K19" s="44">
        <f>C19/C$10*100</f>
        <v/>
      </c>
      <c r="L19" s="47">
        <f>(F11/100)^2+(F12/100)^2+(F13/100)^2+(F14/100)^2+(F15/100)^2+(F16/100)^2+(F17/100)^2+(F18/100)^2+(F19/100)^2</f>
        <v/>
      </c>
    </row>
    <row r="20">
      <c r="A20" s="15" t="n">
        <v>2023</v>
      </c>
      <c r="B20" s="15" t="inlineStr">
        <is>
          <t>Batken Region</t>
        </is>
      </c>
      <c r="C20" s="44" t="n">
        <v>117.3</v>
      </c>
      <c r="D20" s="45">
        <f>C20*1000</f>
        <v/>
      </c>
      <c r="E20" s="45">
        <f>SUM($D$20:$D$28)</f>
        <v/>
      </c>
      <c r="F20" s="46">
        <f>D20/E20*100</f>
        <v/>
      </c>
      <c r="G20" s="46">
        <f>(C20/C11-1)*100</f>
        <v/>
      </c>
      <c r="H20" s="46">
        <f>(C$38/C$2-1)*100</f>
        <v/>
      </c>
      <c r="I20" s="46">
        <f>((C$38/C$2)^(1/4)-1)*100</f>
        <v/>
      </c>
      <c r="J20" s="46">
        <f>F$38-F$2</f>
        <v/>
      </c>
      <c r="K20" s="44">
        <f>C20/C$2*100</f>
        <v/>
      </c>
      <c r="L20" s="47">
        <f>(F20/100)^2+(F21/100)^2+(F22/100)^2+(F23/100)^2+(F24/100)^2+(F25/100)^2+(F26/100)^2+(F27/100)^2+(F28/100)^2</f>
        <v/>
      </c>
    </row>
    <row r="21">
      <c r="A21" s="15" t="n">
        <v>2023</v>
      </c>
      <c r="B21" s="15" t="inlineStr">
        <is>
          <t>Jalal Abad Region</t>
        </is>
      </c>
      <c r="C21" s="44" t="n">
        <v>267.7</v>
      </c>
      <c r="D21" s="45">
        <f>C21*1000</f>
        <v/>
      </c>
      <c r="E21" s="45">
        <f>SUM($D$20:$D$28)</f>
        <v/>
      </c>
      <c r="F21" s="46">
        <f>D21/E21*100</f>
        <v/>
      </c>
      <c r="G21" s="46">
        <f>(C21/C12-1)*100</f>
        <v/>
      </c>
      <c r="H21" s="46">
        <f>(C$39/C$3-1)*100</f>
        <v/>
      </c>
      <c r="I21" s="46">
        <f>((C$39/C$3)^(1/4)-1)*100</f>
        <v/>
      </c>
      <c r="J21" s="46">
        <f>F$39-F$3</f>
        <v/>
      </c>
      <c r="K21" s="44">
        <f>C21/C$3*100</f>
        <v/>
      </c>
      <c r="L21" s="47">
        <f>(F20/100)^2+(F21/100)^2+(F22/100)^2+(F23/100)^2+(F24/100)^2+(F25/100)^2+(F26/100)^2+(F27/100)^2+(F28/100)^2</f>
        <v/>
      </c>
    </row>
    <row r="22">
      <c r="A22" s="15" t="n">
        <v>2023</v>
      </c>
      <c r="B22" s="15" t="inlineStr">
        <is>
          <t>Issyk Kul Region</t>
        </is>
      </c>
      <c r="C22" s="44" t="n">
        <v>63.9</v>
      </c>
      <c r="D22" s="45">
        <f>C22*1000</f>
        <v/>
      </c>
      <c r="E22" s="45">
        <f>SUM($D$20:$D$28)</f>
        <v/>
      </c>
      <c r="F22" s="46">
        <f>D22/E22*100</f>
        <v/>
      </c>
      <c r="G22" s="46">
        <f>(C22/C13-1)*100</f>
        <v/>
      </c>
      <c r="H22" s="46">
        <f>(C$40/C$4-1)*100</f>
        <v/>
      </c>
      <c r="I22" s="46">
        <f>((C$40/C$4)^(1/4)-1)*100</f>
        <v/>
      </c>
      <c r="J22" s="46">
        <f>F$40-F$4</f>
        <v/>
      </c>
      <c r="K22" s="44">
        <f>C22/C$4*100</f>
        <v/>
      </c>
      <c r="L22" s="47">
        <f>(F20/100)^2+(F21/100)^2+(F22/100)^2+(F23/100)^2+(F24/100)^2+(F25/100)^2+(F26/100)^2+(F27/100)^2+(F28/100)^2</f>
        <v/>
      </c>
    </row>
    <row r="23">
      <c r="A23" s="15" t="n">
        <v>2023</v>
      </c>
      <c r="B23" s="15" t="inlineStr">
        <is>
          <t>Naryn Region</t>
        </is>
      </c>
      <c r="C23" s="44" t="n">
        <v>29.4</v>
      </c>
      <c r="D23" s="45">
        <f>C23*1000</f>
        <v/>
      </c>
      <c r="E23" s="45">
        <f>SUM($D$20:$D$28)</f>
        <v/>
      </c>
      <c r="F23" s="46">
        <f>D23/E23*100</f>
        <v/>
      </c>
      <c r="G23" s="46">
        <f>(C23/C14-1)*100</f>
        <v/>
      </c>
      <c r="H23" s="46">
        <f>(C$41/C$5-1)*100</f>
        <v/>
      </c>
      <c r="I23" s="46">
        <f>((C$41/C$5)^(1/4)-1)*100</f>
        <v/>
      </c>
      <c r="J23" s="46">
        <f>F$41-F$5</f>
        <v/>
      </c>
      <c r="K23" s="44">
        <f>C23/C$5*100</f>
        <v/>
      </c>
      <c r="L23" s="47">
        <f>(F20/100)^2+(F21/100)^2+(F22/100)^2+(F23/100)^2+(F24/100)^2+(F25/100)^2+(F26/100)^2+(F27/100)^2+(F28/100)^2</f>
        <v/>
      </c>
    </row>
    <row r="24">
      <c r="A24" s="15" t="n">
        <v>2023</v>
      </c>
      <c r="B24" s="15" t="inlineStr">
        <is>
          <t>Osh Region</t>
        </is>
      </c>
      <c r="C24" s="44" t="n">
        <v>240.6</v>
      </c>
      <c r="D24" s="45">
        <f>C24*1000</f>
        <v/>
      </c>
      <c r="E24" s="45">
        <f>SUM($D$20:$D$28)</f>
        <v/>
      </c>
      <c r="F24" s="46">
        <f>D24/E24*100</f>
        <v/>
      </c>
      <c r="G24" s="46">
        <f>(C24/C15-1)*100</f>
        <v/>
      </c>
      <c r="H24" s="46">
        <f>(C$42/C$6-1)*100</f>
        <v/>
      </c>
      <c r="I24" s="46">
        <f>((C$42/C$6)^(1/4)-1)*100</f>
        <v/>
      </c>
      <c r="J24" s="46">
        <f>F$42-F$6</f>
        <v/>
      </c>
      <c r="K24" s="44">
        <f>C24/C$6*100</f>
        <v/>
      </c>
      <c r="L24" s="47">
        <f>(F20/100)^2+(F21/100)^2+(F22/100)^2+(F23/100)^2+(F24/100)^2+(F25/100)^2+(F26/100)^2+(F27/100)^2+(F28/100)^2</f>
        <v/>
      </c>
    </row>
    <row r="25">
      <c r="A25" s="15" t="n">
        <v>2023</v>
      </c>
      <c r="B25" s="15" t="inlineStr">
        <is>
          <t>Talas Region</t>
        </is>
      </c>
      <c r="C25" s="44" t="n">
        <v>60.1</v>
      </c>
      <c r="D25" s="45">
        <f>C25*1000</f>
        <v/>
      </c>
      <c r="E25" s="45">
        <f>SUM($D$20:$D$28)</f>
        <v/>
      </c>
      <c r="F25" s="46">
        <f>D25/E25*100</f>
        <v/>
      </c>
      <c r="G25" s="46">
        <f>(C25/C16-1)*100</f>
        <v/>
      </c>
      <c r="H25" s="46">
        <f>(C$43/C$7-1)*100</f>
        <v/>
      </c>
      <c r="I25" s="46">
        <f>((C$43/C$7)^(1/4)-1)*100</f>
        <v/>
      </c>
      <c r="J25" s="46">
        <f>F$43-F$7</f>
        <v/>
      </c>
      <c r="K25" s="44">
        <f>C25/C$7*100</f>
        <v/>
      </c>
      <c r="L25" s="47">
        <f>(F20/100)^2+(F21/100)^2+(F22/100)^2+(F23/100)^2+(F24/100)^2+(F25/100)^2+(F26/100)^2+(F27/100)^2+(F28/100)^2</f>
        <v/>
      </c>
    </row>
    <row r="26">
      <c r="A26" s="15" t="n">
        <v>2023</v>
      </c>
      <c r="B26" s="15" t="inlineStr">
        <is>
          <t>Chui Region</t>
        </is>
      </c>
      <c r="C26" s="44" t="n">
        <v>218.2</v>
      </c>
      <c r="D26" s="45">
        <f>C26*1000</f>
        <v/>
      </c>
      <c r="E26" s="45">
        <f>SUM($D$20:$D$28)</f>
        <v/>
      </c>
      <c r="F26" s="46">
        <f>D26/E26*100</f>
        <v/>
      </c>
      <c r="G26" s="46">
        <f>(C26/C17-1)*100</f>
        <v/>
      </c>
      <c r="H26" s="46">
        <f>(C$44/C$8-1)*100</f>
        <v/>
      </c>
      <c r="I26" s="46">
        <f>((C$44/C$8)^(1/4)-1)*100</f>
        <v/>
      </c>
      <c r="J26" s="46">
        <f>F$44-F$8</f>
        <v/>
      </c>
      <c r="K26" s="44">
        <f>C26/C$8*100</f>
        <v/>
      </c>
      <c r="L26" s="47">
        <f>(F20/100)^2+(F21/100)^2+(F22/100)^2+(F23/100)^2+(F24/100)^2+(F25/100)^2+(F26/100)^2+(F27/100)^2+(F28/100)^2</f>
        <v/>
      </c>
    </row>
    <row r="27">
      <c r="A27" s="15" t="n">
        <v>2023</v>
      </c>
      <c r="B27" s="15" t="inlineStr">
        <is>
          <t>Bishkek City</t>
        </is>
      </c>
      <c r="C27" s="44" t="n">
        <v>513.7</v>
      </c>
      <c r="D27" s="45">
        <f>C27*1000</f>
        <v/>
      </c>
      <c r="E27" s="45">
        <f>SUM($D$20:$D$28)</f>
        <v/>
      </c>
      <c r="F27" s="46">
        <f>D27/E27*100</f>
        <v/>
      </c>
      <c r="G27" s="46">
        <f>(C27/C18-1)*100</f>
        <v/>
      </c>
      <c r="H27" s="46">
        <f>(C$45/C$9-1)*100</f>
        <v/>
      </c>
      <c r="I27" s="46">
        <f>((C$45/C$9)^(1/4)-1)*100</f>
        <v/>
      </c>
      <c r="J27" s="46">
        <f>F$45-F$9</f>
        <v/>
      </c>
      <c r="K27" s="44">
        <f>C27/C$9*100</f>
        <v/>
      </c>
      <c r="L27" s="47">
        <f>(F20/100)^2+(F21/100)^2+(F22/100)^2+(F23/100)^2+(F24/100)^2+(F25/100)^2+(F26/100)^2+(F27/100)^2+(F28/100)^2</f>
        <v/>
      </c>
    </row>
    <row r="28">
      <c r="A28" s="15" t="n">
        <v>2023</v>
      </c>
      <c r="B28" s="15" t="inlineStr">
        <is>
          <t>Osh City</t>
        </is>
      </c>
      <c r="C28" s="44" t="n">
        <v>88</v>
      </c>
      <c r="D28" s="45">
        <f>C28*1000</f>
        <v/>
      </c>
      <c r="E28" s="45">
        <f>SUM($D$20:$D$28)</f>
        <v/>
      </c>
      <c r="F28" s="46">
        <f>D28/E28*100</f>
        <v/>
      </c>
      <c r="G28" s="46">
        <f>(C28/C19-1)*100</f>
        <v/>
      </c>
      <c r="H28" s="46">
        <f>(C$46/C$10-1)*100</f>
        <v/>
      </c>
      <c r="I28" s="46">
        <f>((C$46/C$10)^(1/4)-1)*100</f>
        <v/>
      </c>
      <c r="J28" s="46">
        <f>F$46-F$10</f>
        <v/>
      </c>
      <c r="K28" s="44">
        <f>C28/C$10*100</f>
        <v/>
      </c>
      <c r="L28" s="47">
        <f>(F20/100)^2+(F21/100)^2+(F22/100)^2+(F23/100)^2+(F24/100)^2+(F25/100)^2+(F26/100)^2+(F27/100)^2+(F28/100)^2</f>
        <v/>
      </c>
    </row>
    <row r="29">
      <c r="A29" s="15" t="n">
        <v>2024</v>
      </c>
      <c r="B29" s="15" t="inlineStr">
        <is>
          <t>Batken Region</t>
        </is>
      </c>
      <c r="C29" s="44" t="n">
        <v>68.90000000000001</v>
      </c>
      <c r="D29" s="45">
        <f>C29*1000</f>
        <v/>
      </c>
      <c r="E29" s="45">
        <f>SUM($D$29:$D$37)</f>
        <v/>
      </c>
      <c r="F29" s="46">
        <f>D29/E29*100</f>
        <v/>
      </c>
      <c r="G29" s="46">
        <f>(C29/C20-1)*100</f>
        <v/>
      </c>
      <c r="H29" s="46">
        <f>(C$38/C$2-1)*100</f>
        <v/>
      </c>
      <c r="I29" s="46">
        <f>((C$38/C$2)^(1/4)-1)*100</f>
        <v/>
      </c>
      <c r="J29" s="46">
        <f>F$38-F$2</f>
        <v/>
      </c>
      <c r="K29" s="44">
        <f>C29/C$2*100</f>
        <v/>
      </c>
      <c r="L29" s="47">
        <f>(F29/100)^2+(F30/100)^2+(F31/100)^2+(F32/100)^2+(F33/100)^2+(F34/100)^2+(F35/100)^2+(F36/100)^2+(F37/100)^2</f>
        <v/>
      </c>
    </row>
    <row r="30">
      <c r="A30" s="15" t="n">
        <v>2024</v>
      </c>
      <c r="B30" s="15" t="inlineStr">
        <is>
          <t>Jalal Abad Region</t>
        </is>
      </c>
      <c r="C30" s="44" t="n">
        <v>299.9</v>
      </c>
      <c r="D30" s="45">
        <f>C30*1000</f>
        <v/>
      </c>
      <c r="E30" s="45">
        <f>SUM($D$29:$D$37)</f>
        <v/>
      </c>
      <c r="F30" s="46">
        <f>D30/E30*100</f>
        <v/>
      </c>
      <c r="G30" s="46">
        <f>(C30/C21-1)*100</f>
        <v/>
      </c>
      <c r="H30" s="46">
        <f>(C$39/C$3-1)*100</f>
        <v/>
      </c>
      <c r="I30" s="46">
        <f>((C$39/C$3)^(1/4)-1)*100</f>
        <v/>
      </c>
      <c r="J30" s="46">
        <f>F$39-F$3</f>
        <v/>
      </c>
      <c r="K30" s="44">
        <f>C30/C$3*100</f>
        <v/>
      </c>
      <c r="L30" s="47">
        <f>(F29/100)^2+(F30/100)^2+(F31/100)^2+(F32/100)^2+(F33/100)^2+(F34/100)^2+(F35/100)^2+(F36/100)^2+(F37/100)^2</f>
        <v/>
      </c>
    </row>
    <row r="31">
      <c r="A31" s="15" t="n">
        <v>2024</v>
      </c>
      <c r="B31" s="15" t="inlineStr">
        <is>
          <t>Issyk Kul Region</t>
        </is>
      </c>
      <c r="C31" s="44" t="n">
        <v>82.90000000000001</v>
      </c>
      <c r="D31" s="45">
        <f>C31*1000</f>
        <v/>
      </c>
      <c r="E31" s="45">
        <f>SUM($D$29:$D$37)</f>
        <v/>
      </c>
      <c r="F31" s="46">
        <f>D31/E31*100</f>
        <v/>
      </c>
      <c r="G31" s="46">
        <f>(C31/C22-1)*100</f>
        <v/>
      </c>
      <c r="H31" s="46">
        <f>(C$40/C$4-1)*100</f>
        <v/>
      </c>
      <c r="I31" s="46">
        <f>((C$40/C$4)^(1/4)-1)*100</f>
        <v/>
      </c>
      <c r="J31" s="46">
        <f>F$40-F$4</f>
        <v/>
      </c>
      <c r="K31" s="44">
        <f>C31/C$4*100</f>
        <v/>
      </c>
      <c r="L31" s="47">
        <f>(F29/100)^2+(F30/100)^2+(F31/100)^2+(F32/100)^2+(F33/100)^2+(F34/100)^2+(F35/100)^2+(F36/100)^2+(F37/100)^2</f>
        <v/>
      </c>
    </row>
    <row r="32">
      <c r="A32" s="15" t="n">
        <v>2024</v>
      </c>
      <c r="B32" s="15" t="inlineStr">
        <is>
          <t>Naryn Region</t>
        </is>
      </c>
      <c r="C32" s="44" t="n">
        <v>32</v>
      </c>
      <c r="D32" s="45">
        <f>C32*1000</f>
        <v/>
      </c>
      <c r="E32" s="45">
        <f>SUM($D$29:$D$37)</f>
        <v/>
      </c>
      <c r="F32" s="46">
        <f>D32/E32*100</f>
        <v/>
      </c>
      <c r="G32" s="46">
        <f>(C32/C23-1)*100</f>
        <v/>
      </c>
      <c r="H32" s="46">
        <f>(C$41/C$5-1)*100</f>
        <v/>
      </c>
      <c r="I32" s="46">
        <f>((C$41/C$5)^(1/4)-1)*100</f>
        <v/>
      </c>
      <c r="J32" s="46">
        <f>F$41-F$5</f>
        <v/>
      </c>
      <c r="K32" s="44">
        <f>C32/C$5*100</f>
        <v/>
      </c>
      <c r="L32" s="47">
        <f>(F29/100)^2+(F30/100)^2+(F31/100)^2+(F32/100)^2+(F33/100)^2+(F34/100)^2+(F35/100)^2+(F36/100)^2+(F37/100)^2</f>
        <v/>
      </c>
    </row>
    <row r="33">
      <c r="A33" s="15" t="n">
        <v>2024</v>
      </c>
      <c r="B33" s="15" t="inlineStr">
        <is>
          <t>Osh Region</t>
        </is>
      </c>
      <c r="C33" s="44" t="n">
        <v>190.8</v>
      </c>
      <c r="D33" s="45">
        <f>C33*1000</f>
        <v/>
      </c>
      <c r="E33" s="45">
        <f>SUM($D$29:$D$37)</f>
        <v/>
      </c>
      <c r="F33" s="46">
        <f>D33/E33*100</f>
        <v/>
      </c>
      <c r="G33" s="46">
        <f>(C33/C24-1)*100</f>
        <v/>
      </c>
      <c r="H33" s="46">
        <f>(C$42/C$6-1)*100</f>
        <v/>
      </c>
      <c r="I33" s="46">
        <f>((C$42/C$6)^(1/4)-1)*100</f>
        <v/>
      </c>
      <c r="J33" s="46">
        <f>F$42-F$6</f>
        <v/>
      </c>
      <c r="K33" s="44">
        <f>C33/C$6*100</f>
        <v/>
      </c>
      <c r="L33" s="47">
        <f>(F29/100)^2+(F30/100)^2+(F31/100)^2+(F32/100)^2+(F33/100)^2+(F34/100)^2+(F35/100)^2+(F36/100)^2+(F37/100)^2</f>
        <v/>
      </c>
    </row>
    <row r="34">
      <c r="A34" s="15" t="n">
        <v>2024</v>
      </c>
      <c r="B34" s="15" t="inlineStr">
        <is>
          <t>Talas Region</t>
        </is>
      </c>
      <c r="C34" s="44" t="n">
        <v>83.7</v>
      </c>
      <c r="D34" s="45">
        <f>C34*1000</f>
        <v/>
      </c>
      <c r="E34" s="45">
        <f>SUM($D$29:$D$37)</f>
        <v/>
      </c>
      <c r="F34" s="46">
        <f>D34/E34*100</f>
        <v/>
      </c>
      <c r="G34" s="46">
        <f>(C34/C25-1)*100</f>
        <v/>
      </c>
      <c r="H34" s="46">
        <f>(C$43/C$7-1)*100</f>
        <v/>
      </c>
      <c r="I34" s="46">
        <f>((C$43/C$7)^(1/4)-1)*100</f>
        <v/>
      </c>
      <c r="J34" s="46">
        <f>F$43-F$7</f>
        <v/>
      </c>
      <c r="K34" s="44">
        <f>C34/C$7*100</f>
        <v/>
      </c>
      <c r="L34" s="47">
        <f>(F29/100)^2+(F30/100)^2+(F31/100)^2+(F32/100)^2+(F33/100)^2+(F34/100)^2+(F35/100)^2+(F36/100)^2+(F37/100)^2</f>
        <v/>
      </c>
    </row>
    <row r="35">
      <c r="A35" s="15" t="n">
        <v>2024</v>
      </c>
      <c r="B35" s="15" t="inlineStr">
        <is>
          <t>Chui Region</t>
        </is>
      </c>
      <c r="C35" s="44" t="n">
        <v>151.1</v>
      </c>
      <c r="D35" s="45">
        <f>C35*1000</f>
        <v/>
      </c>
      <c r="E35" s="45">
        <f>SUM($D$29:$D$37)</f>
        <v/>
      </c>
      <c r="F35" s="46">
        <f>D35/E35*100</f>
        <v/>
      </c>
      <c r="G35" s="46">
        <f>(C35/C26-1)*100</f>
        <v/>
      </c>
      <c r="H35" s="46">
        <f>(C$44/C$8-1)*100</f>
        <v/>
      </c>
      <c r="I35" s="46">
        <f>((C$44/C$8)^(1/4)-1)*100</f>
        <v/>
      </c>
      <c r="J35" s="46">
        <f>F$44-F$8</f>
        <v/>
      </c>
      <c r="K35" s="44">
        <f>C35/C$8*100</f>
        <v/>
      </c>
      <c r="L35" s="47">
        <f>(F29/100)^2+(F30/100)^2+(F31/100)^2+(F32/100)^2+(F33/100)^2+(F34/100)^2+(F35/100)^2+(F36/100)^2+(F37/100)^2</f>
        <v/>
      </c>
    </row>
    <row r="36">
      <c r="A36" s="15" t="n">
        <v>2024</v>
      </c>
      <c r="B36" s="15" t="inlineStr">
        <is>
          <t>Bishkek City</t>
        </is>
      </c>
      <c r="C36" s="44" t="n">
        <v>539.1</v>
      </c>
      <c r="D36" s="45">
        <f>C36*1000</f>
        <v/>
      </c>
      <c r="E36" s="45">
        <f>SUM($D$29:$D$37)</f>
        <v/>
      </c>
      <c r="F36" s="46">
        <f>D36/E36*100</f>
        <v/>
      </c>
      <c r="G36" s="46">
        <f>(C36/C27-1)*100</f>
        <v/>
      </c>
      <c r="H36" s="46">
        <f>(C$45/C$9-1)*100</f>
        <v/>
      </c>
      <c r="I36" s="46">
        <f>((C$45/C$9)^(1/4)-1)*100</f>
        <v/>
      </c>
      <c r="J36" s="46">
        <f>F$45-F$9</f>
        <v/>
      </c>
      <c r="K36" s="44">
        <f>C36/C$9*100</f>
        <v/>
      </c>
      <c r="L36" s="47">
        <f>(F29/100)^2+(F30/100)^2+(F31/100)^2+(F32/100)^2+(F33/100)^2+(F34/100)^2+(F35/100)^2+(F36/100)^2+(F37/100)^2</f>
        <v/>
      </c>
    </row>
    <row r="37">
      <c r="A37" s="15" t="n">
        <v>2024</v>
      </c>
      <c r="B37" s="15" t="inlineStr">
        <is>
          <t>Osh City</t>
        </is>
      </c>
      <c r="C37" s="44" t="n">
        <v>125</v>
      </c>
      <c r="D37" s="45">
        <f>C37*1000</f>
        <v/>
      </c>
      <c r="E37" s="45">
        <f>SUM($D$29:$D$37)</f>
        <v/>
      </c>
      <c r="F37" s="46">
        <f>D37/E37*100</f>
        <v/>
      </c>
      <c r="G37" s="46">
        <f>(C37/C28-1)*100</f>
        <v/>
      </c>
      <c r="H37" s="46">
        <f>(C$46/C$10-1)*100</f>
        <v/>
      </c>
      <c r="I37" s="46">
        <f>((C$46/C$10)^(1/4)-1)*100</f>
        <v/>
      </c>
      <c r="J37" s="46">
        <f>F$46-F$10</f>
        <v/>
      </c>
      <c r="K37" s="44">
        <f>C37/C$10*100</f>
        <v/>
      </c>
      <c r="L37" s="47">
        <f>(F29/100)^2+(F30/100)^2+(F31/100)^2+(F32/100)^2+(F33/100)^2+(F34/100)^2+(F35/100)^2+(F36/100)^2+(F37/100)^2</f>
        <v/>
      </c>
    </row>
    <row r="38">
      <c r="A38" s="15" t="n">
        <v>2025</v>
      </c>
      <c r="B38" s="15" t="inlineStr">
        <is>
          <t>Batken Region</t>
        </is>
      </c>
      <c r="C38" s="44" t="n">
        <v>71.2</v>
      </c>
      <c r="D38" s="45">
        <f>C38*1000</f>
        <v/>
      </c>
      <c r="E38" s="45">
        <f>SUM($D$38:$D$46)</f>
        <v/>
      </c>
      <c r="F38" s="46">
        <f>D38/E38*100</f>
        <v/>
      </c>
      <c r="G38" s="46">
        <f>(C38/C29-1)*100</f>
        <v/>
      </c>
      <c r="H38" s="46">
        <f>(C$38/C$2-1)*100</f>
        <v/>
      </c>
      <c r="I38" s="46">
        <f>((C$38/C$2)^(1/4)-1)*100</f>
        <v/>
      </c>
      <c r="J38" s="46">
        <f>F$38-F$2</f>
        <v/>
      </c>
      <c r="K38" s="44">
        <f>C38/C$2*100</f>
        <v/>
      </c>
      <c r="L38" s="47">
        <f>(F38/100)^2+(F39/100)^2+(F40/100)^2+(F41/100)^2+(F42/100)^2+(F43/100)^2+(F44/100)^2+(F45/100)^2+(F46/100)^2</f>
        <v/>
      </c>
    </row>
    <row r="39">
      <c r="A39" s="15" t="n">
        <v>2025</v>
      </c>
      <c r="B39" s="15" t="inlineStr">
        <is>
          <t>Jalal Abad Region</t>
        </is>
      </c>
      <c r="C39" s="44" t="n">
        <v>311.8</v>
      </c>
      <c r="D39" s="45">
        <f>C39*1000</f>
        <v/>
      </c>
      <c r="E39" s="45">
        <f>SUM($D$38:$D$46)</f>
        <v/>
      </c>
      <c r="F39" s="46">
        <f>D39/E39*100</f>
        <v/>
      </c>
      <c r="G39" s="46">
        <f>(C39/C30-1)*100</f>
        <v/>
      </c>
      <c r="H39" s="46">
        <f>(C$39/C$3-1)*100</f>
        <v/>
      </c>
      <c r="I39" s="46">
        <f>((C$39/C$3)^(1/4)-1)*100</f>
        <v/>
      </c>
      <c r="J39" s="46">
        <f>F$39-F$3</f>
        <v/>
      </c>
      <c r="K39" s="44">
        <f>C39/C$3*100</f>
        <v/>
      </c>
      <c r="L39" s="47">
        <f>(F38/100)^2+(F39/100)^2+(F40/100)^2+(F41/100)^2+(F42/100)^2+(F43/100)^2+(F44/100)^2+(F45/100)^2+(F46/100)^2</f>
        <v/>
      </c>
    </row>
    <row r="40">
      <c r="A40" s="15" t="n">
        <v>2025</v>
      </c>
      <c r="B40" s="15" t="inlineStr">
        <is>
          <t>Issyk Kul Region</t>
        </is>
      </c>
      <c r="C40" s="44" t="n">
        <v>86.3</v>
      </c>
      <c r="D40" s="45">
        <f>C40*1000</f>
        <v/>
      </c>
      <c r="E40" s="45">
        <f>SUM($D$38:$D$46)</f>
        <v/>
      </c>
      <c r="F40" s="46">
        <f>D40/E40*100</f>
        <v/>
      </c>
      <c r="G40" s="46">
        <f>(C40/C31-1)*100</f>
        <v/>
      </c>
      <c r="H40" s="46">
        <f>(C$40/C$4-1)*100</f>
        <v/>
      </c>
      <c r="I40" s="46">
        <f>((C$40/C$4)^(1/4)-1)*100</f>
        <v/>
      </c>
      <c r="J40" s="46">
        <f>F$40-F$4</f>
        <v/>
      </c>
      <c r="K40" s="44">
        <f>C40/C$4*100</f>
        <v/>
      </c>
      <c r="L40" s="47">
        <f>(F38/100)^2+(F39/100)^2+(F40/100)^2+(F41/100)^2+(F42/100)^2+(F43/100)^2+(F44/100)^2+(F45/100)^2+(F46/100)^2</f>
        <v/>
      </c>
    </row>
    <row r="41">
      <c r="A41" s="15" t="n">
        <v>2025</v>
      </c>
      <c r="B41" s="15" t="inlineStr">
        <is>
          <t>Naryn Region</t>
        </is>
      </c>
      <c r="C41" s="44" t="n">
        <v>36.2</v>
      </c>
      <c r="D41" s="45">
        <f>C41*1000</f>
        <v/>
      </c>
      <c r="E41" s="45">
        <f>SUM($D$38:$D$46)</f>
        <v/>
      </c>
      <c r="F41" s="46">
        <f>D41/E41*100</f>
        <v/>
      </c>
      <c r="G41" s="46">
        <f>(C41/C32-1)*100</f>
        <v/>
      </c>
      <c r="H41" s="46">
        <f>(C$41/C$5-1)*100</f>
        <v/>
      </c>
      <c r="I41" s="46">
        <f>((C$41/C$5)^(1/4)-1)*100</f>
        <v/>
      </c>
      <c r="J41" s="46">
        <f>F$41-F$5</f>
        <v/>
      </c>
      <c r="K41" s="44">
        <f>C41/C$5*100</f>
        <v/>
      </c>
      <c r="L41" s="47">
        <f>(F38/100)^2+(F39/100)^2+(F40/100)^2+(F41/100)^2+(F42/100)^2+(F43/100)^2+(F44/100)^2+(F45/100)^2+(F46/100)^2</f>
        <v/>
      </c>
    </row>
    <row r="42">
      <c r="A42" s="15" t="n">
        <v>2025</v>
      </c>
      <c r="B42" s="15" t="inlineStr">
        <is>
          <t>Osh Region</t>
        </is>
      </c>
      <c r="C42" s="44" t="n">
        <v>206.4</v>
      </c>
      <c r="D42" s="45">
        <f>C42*1000</f>
        <v/>
      </c>
      <c r="E42" s="45">
        <f>SUM($D$38:$D$46)</f>
        <v/>
      </c>
      <c r="F42" s="46">
        <f>D42/E42*100</f>
        <v/>
      </c>
      <c r="G42" s="46">
        <f>(C42/C33-1)*100</f>
        <v/>
      </c>
      <c r="H42" s="46">
        <f>(C$42/C$6-1)*100</f>
        <v/>
      </c>
      <c r="I42" s="46">
        <f>((C$42/C$6)^(1/4)-1)*100</f>
        <v/>
      </c>
      <c r="J42" s="46">
        <f>F$42-F$6</f>
        <v/>
      </c>
      <c r="K42" s="44">
        <f>C42/C$6*100</f>
        <v/>
      </c>
      <c r="L42" s="47">
        <f>(F38/100)^2+(F39/100)^2+(F40/100)^2+(F41/100)^2+(F42/100)^2+(F43/100)^2+(F44/100)^2+(F45/100)^2+(F46/100)^2</f>
        <v/>
      </c>
    </row>
    <row r="43">
      <c r="A43" s="15" t="n">
        <v>2025</v>
      </c>
      <c r="B43" s="15" t="inlineStr">
        <is>
          <t>Talas Region</t>
        </is>
      </c>
      <c r="C43" s="44" t="n">
        <v>80.8</v>
      </c>
      <c r="D43" s="45">
        <f>C43*1000</f>
        <v/>
      </c>
      <c r="E43" s="45">
        <f>SUM($D$38:$D$46)</f>
        <v/>
      </c>
      <c r="F43" s="46">
        <f>D43/E43*100</f>
        <v/>
      </c>
      <c r="G43" s="46">
        <f>(C43/C34-1)*100</f>
        <v/>
      </c>
      <c r="H43" s="46">
        <f>(C$43/C$7-1)*100</f>
        <v/>
      </c>
      <c r="I43" s="46">
        <f>((C$43/C$7)^(1/4)-1)*100</f>
        <v/>
      </c>
      <c r="J43" s="46">
        <f>F$43-F$7</f>
        <v/>
      </c>
      <c r="K43" s="44">
        <f>C43/C$7*100</f>
        <v/>
      </c>
      <c r="L43" s="47">
        <f>(F38/100)^2+(F39/100)^2+(F40/100)^2+(F41/100)^2+(F42/100)^2+(F43/100)^2+(F44/100)^2+(F45/100)^2+(F46/100)^2</f>
        <v/>
      </c>
    </row>
    <row r="44">
      <c r="A44" s="15" t="n">
        <v>2025</v>
      </c>
      <c r="B44" s="15" t="inlineStr">
        <is>
          <t>Chui Region</t>
        </is>
      </c>
      <c r="C44" s="44" t="n">
        <v>215.8</v>
      </c>
      <c r="D44" s="45">
        <f>C44*1000</f>
        <v/>
      </c>
      <c r="E44" s="45">
        <f>SUM($D$38:$D$46)</f>
        <v/>
      </c>
      <c r="F44" s="46">
        <f>D44/E44*100</f>
        <v/>
      </c>
      <c r="G44" s="46">
        <f>(C44/C35-1)*100</f>
        <v/>
      </c>
      <c r="H44" s="46">
        <f>(C$44/C$8-1)*100</f>
        <v/>
      </c>
      <c r="I44" s="46">
        <f>((C$44/C$8)^(1/4)-1)*100</f>
        <v/>
      </c>
      <c r="J44" s="46">
        <f>F$44-F$8</f>
        <v/>
      </c>
      <c r="K44" s="44">
        <f>C44/C$8*100</f>
        <v/>
      </c>
      <c r="L44" s="47">
        <f>(F38/100)^2+(F39/100)^2+(F40/100)^2+(F41/100)^2+(F42/100)^2+(F43/100)^2+(F44/100)^2+(F45/100)^2+(F46/100)^2</f>
        <v/>
      </c>
    </row>
    <row r="45">
      <c r="A45" s="15" t="n">
        <v>2025</v>
      </c>
      <c r="B45" s="15" t="inlineStr">
        <is>
          <t>Bishkek City</t>
        </is>
      </c>
      <c r="C45" s="44" t="n">
        <v>617</v>
      </c>
      <c r="D45" s="45">
        <f>C45*1000</f>
        <v/>
      </c>
      <c r="E45" s="45">
        <f>SUM($D$38:$D$46)</f>
        <v/>
      </c>
      <c r="F45" s="46">
        <f>D45/E45*100</f>
        <v/>
      </c>
      <c r="G45" s="46">
        <f>(C45/C36-1)*100</f>
        <v/>
      </c>
      <c r="H45" s="46">
        <f>(C$45/C$9-1)*100</f>
        <v/>
      </c>
      <c r="I45" s="46">
        <f>((C$45/C$9)^(1/4)-1)*100</f>
        <v/>
      </c>
      <c r="J45" s="46">
        <f>F$45-F$9</f>
        <v/>
      </c>
      <c r="K45" s="44">
        <f>C45/C$9*100</f>
        <v/>
      </c>
      <c r="L45" s="47">
        <f>(F38/100)^2+(F39/100)^2+(F40/100)^2+(F41/100)^2+(F42/100)^2+(F43/100)^2+(F44/100)^2+(F45/100)^2+(F46/100)^2</f>
        <v/>
      </c>
    </row>
    <row r="46">
      <c r="A46" s="15" t="n">
        <v>2025</v>
      </c>
      <c r="B46" s="15" t="inlineStr">
        <is>
          <t>Osh City</t>
        </is>
      </c>
      <c r="C46" s="44" t="n">
        <v>194.4</v>
      </c>
      <c r="D46" s="45">
        <f>C46*1000</f>
        <v/>
      </c>
      <c r="E46" s="45">
        <f>SUM($D$38:$D$46)</f>
        <v/>
      </c>
      <c r="F46" s="46">
        <f>D46/E46*100</f>
        <v/>
      </c>
      <c r="G46" s="46">
        <f>(C46/C37-1)*100</f>
        <v/>
      </c>
      <c r="H46" s="46">
        <f>(C$46/C$10-1)*100</f>
        <v/>
      </c>
      <c r="I46" s="46">
        <f>((C$46/C$10)^(1/4)-1)*100</f>
        <v/>
      </c>
      <c r="J46" s="46">
        <f>F$46-F$10</f>
        <v/>
      </c>
      <c r="K46" s="44">
        <f>C46/C$10*100</f>
        <v/>
      </c>
      <c r="L46" s="47">
        <f>(F38/100)^2+(F39/100)^2+(F40/100)^2+(F41/100)^2+(F42/100)^2+(F43/100)^2+(F44/100)^2+(F45/100)^2+(F46/100)^2</f>
        <v/>
      </c>
    </row>
  </sheetData>
  <conditionalFormatting sqref="G2:J46">
    <cfRule type="colorScale" priority="1">
      <colorScale>
        <cfvo type="min"/>
        <cfvo type="percentile" val="50"/>
        <cfvo type="max"/>
        <color rgb="FFFDE9E7"/>
        <color rgb="FFFFF2CC"/>
        <color rgb="FFE2F0D9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22" t="inlineStr">
        <is>
          <t>year</t>
        </is>
      </c>
      <c r="B1" s="22" t="inlineStr">
        <is>
          <t>national_total_thousand_sqm</t>
        </is>
      </c>
      <c r="C1" s="22" t="inlineStr">
        <is>
          <t>national_total_sqm</t>
        </is>
      </c>
      <c r="D1" s="22" t="inlineStr">
        <is>
          <t>annual_growth_pct</t>
        </is>
      </c>
      <c r="E1" s="22" t="inlineStr">
        <is>
          <t>hhi</t>
        </is>
      </c>
    </row>
    <row r="2">
      <c r="A2" t="n">
        <v>2021</v>
      </c>
      <c r="B2" s="48">
        <f>SUM(Construction_Clean!C2:C10)</f>
        <v/>
      </c>
      <c r="C2" s="49">
        <f>B2*1000</f>
        <v/>
      </c>
      <c r="D2" s="50" t="n"/>
      <c r="E2" s="51">
        <f>(Construction_Clean!F2/100)^2+(Construction_Clean!F3/100)^2+(Construction_Clean!F4/100)^2+(Construction_Clean!F5/100)^2+(Construction_Clean!F6/100)^2+(Construction_Clean!F7/100)^2+(Construction_Clean!F8/100)^2+(Construction_Clean!F9/100)^2+(Construction_Clean!F10/100)^2</f>
        <v/>
      </c>
    </row>
    <row r="3">
      <c r="A3" t="n">
        <v>2022</v>
      </c>
      <c r="B3" s="48">
        <f>SUM(Construction_Clean!C11:C19)</f>
        <v/>
      </c>
      <c r="C3" s="49">
        <f>B3*1000</f>
        <v/>
      </c>
      <c r="D3" s="50">
        <f>(B3/B2-1)*100</f>
        <v/>
      </c>
      <c r="E3" s="51">
        <f>(Construction_Clean!F11/100)^2+(Construction_Clean!F12/100)^2+(Construction_Clean!F13/100)^2+(Construction_Clean!F14/100)^2+(Construction_Clean!F15/100)^2+(Construction_Clean!F16/100)^2+(Construction_Clean!F17/100)^2+(Construction_Clean!F18/100)^2+(Construction_Clean!F19/100)^2</f>
        <v/>
      </c>
    </row>
    <row r="4">
      <c r="A4" t="n">
        <v>2023</v>
      </c>
      <c r="B4" s="48">
        <f>SUM(Construction_Clean!C20:C28)</f>
        <v/>
      </c>
      <c r="C4" s="49">
        <f>B4*1000</f>
        <v/>
      </c>
      <c r="D4" s="50">
        <f>(B4/B3-1)*100</f>
        <v/>
      </c>
      <c r="E4" s="51">
        <f>(Construction_Clean!F20/100)^2+(Construction_Clean!F21/100)^2+(Construction_Clean!F22/100)^2+(Construction_Clean!F23/100)^2+(Construction_Clean!F24/100)^2+(Construction_Clean!F25/100)^2+(Construction_Clean!F26/100)^2+(Construction_Clean!F27/100)^2+(Construction_Clean!F28/100)^2</f>
        <v/>
      </c>
    </row>
    <row r="5">
      <c r="A5" t="n">
        <v>2024</v>
      </c>
      <c r="B5" s="48">
        <f>SUM(Construction_Clean!C29:C37)</f>
        <v/>
      </c>
      <c r="C5" s="49">
        <f>B5*1000</f>
        <v/>
      </c>
      <c r="D5" s="50">
        <f>(B5/B4-1)*100</f>
        <v/>
      </c>
      <c r="E5" s="51">
        <f>(Construction_Clean!F29/100)^2+(Construction_Clean!F30/100)^2+(Construction_Clean!F31/100)^2+(Construction_Clean!F32/100)^2+(Construction_Clean!F33/100)^2+(Construction_Clean!F34/100)^2+(Construction_Clean!F35/100)^2+(Construction_Clean!F36/100)^2+(Construction_Clean!F37/100)^2</f>
        <v/>
      </c>
    </row>
    <row r="6">
      <c r="A6" t="n">
        <v>2025</v>
      </c>
      <c r="B6" s="48">
        <f>SUM(Construction_Clean!C38:C46)</f>
        <v/>
      </c>
      <c r="C6" s="49">
        <f>B6*1000</f>
        <v/>
      </c>
      <c r="D6" s="50">
        <f>(B6/B5-1)*100</f>
        <v/>
      </c>
      <c r="E6" s="51">
        <f>(Construction_Clean!F38/100)^2+(Construction_Clean!F39/100)^2+(Construction_Clean!F40/100)^2+(Construction_Clean!F41/100)^2+(Construction_Clean!F42/100)^2+(Construction_Clean!F43/100)^2+(Construction_Clean!F44/100)^2+(Construction_Clean!F45/100)^2+(Construction_Clean!F46/100)^2</f>
        <v/>
      </c>
    </row>
    <row r="8">
      <c r="A8" s="22" t="inlineStr">
        <is>
          <t>Metric</t>
        </is>
      </c>
      <c r="B8" s="22" t="inlineStr">
        <is>
          <t>Value</t>
        </is>
      </c>
    </row>
    <row r="9">
      <c r="A9" t="inlineStr">
        <is>
          <t>Overall growth, 2021 to 2025, percent</t>
        </is>
      </c>
      <c r="B9" s="50">
        <f>(B6/B2-1)*100</f>
        <v/>
      </c>
    </row>
    <row r="10">
      <c r="A10" t="inlineStr">
        <is>
          <t>National CAGR, 2021 to 2025, percent</t>
        </is>
      </c>
      <c r="B10" s="50">
        <f>((B6/B2)^(1/4)-1)*100</f>
        <v/>
      </c>
    </row>
    <row r="11">
      <c r="A11" t="inlineStr">
        <is>
          <t>HHI change, 2021 to 2025</t>
        </is>
      </c>
      <c r="B11" s="51">
        <f>E6-E2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>
      <c r="A1" s="22" t="inlineStr">
        <is>
          <t>region</t>
        </is>
      </c>
      <c r="B1" s="22" t="inlineStr">
        <is>
          <t>2021_thousand_sqm</t>
        </is>
      </c>
      <c r="C1" s="22" t="inlineStr">
        <is>
          <t>2025_thousand_sqm</t>
        </is>
      </c>
      <c r="D1" s="22" t="inlineStr">
        <is>
          <t>absolute_change_thousand_sqm</t>
        </is>
      </c>
      <c r="E1" s="22" t="inlineStr">
        <is>
          <t>pct_change</t>
        </is>
      </c>
      <c r="F1" s="22" t="inlineStr">
        <is>
          <t>cagr_pct</t>
        </is>
      </c>
      <c r="G1" s="22" t="inlineStr">
        <is>
          <t>share_2021_pct</t>
        </is>
      </c>
      <c r="H1" s="22" t="inlineStr">
        <is>
          <t>share_2025_pct</t>
        </is>
      </c>
      <c r="I1" s="22" t="inlineStr">
        <is>
          <t>share_change_pp</t>
        </is>
      </c>
    </row>
    <row r="2">
      <c r="A2" t="inlineStr">
        <is>
          <t>Batken Region</t>
        </is>
      </c>
      <c r="B2" s="48">
        <f>Construction_Clean!C2</f>
        <v/>
      </c>
      <c r="C2" s="48">
        <f>Construction_Clean!C38</f>
        <v/>
      </c>
      <c r="D2" s="48">
        <f>C2-B2</f>
        <v/>
      </c>
      <c r="E2" s="50">
        <f>(C2/B2-1)*100</f>
        <v/>
      </c>
      <c r="F2" s="50">
        <f>((C2/B2)^(1/4)-1)*100</f>
        <v/>
      </c>
      <c r="G2" s="50">
        <f>Construction_Clean!F2</f>
        <v/>
      </c>
      <c r="H2" s="50">
        <f>Construction_Clean!F38</f>
        <v/>
      </c>
      <c r="I2" s="50">
        <f>H2-G2</f>
        <v/>
      </c>
    </row>
    <row r="3">
      <c r="A3" t="inlineStr">
        <is>
          <t>Jalal Abad Region</t>
        </is>
      </c>
      <c r="B3" s="48">
        <f>Construction_Clean!C3</f>
        <v/>
      </c>
      <c r="C3" s="48">
        <f>Construction_Clean!C39</f>
        <v/>
      </c>
      <c r="D3" s="48">
        <f>C3-B3</f>
        <v/>
      </c>
      <c r="E3" s="50">
        <f>(C3/B3-1)*100</f>
        <v/>
      </c>
      <c r="F3" s="50">
        <f>((C3/B3)^(1/4)-1)*100</f>
        <v/>
      </c>
      <c r="G3" s="50">
        <f>Construction_Clean!F3</f>
        <v/>
      </c>
      <c r="H3" s="50">
        <f>Construction_Clean!F39</f>
        <v/>
      </c>
      <c r="I3" s="50">
        <f>H3-G3</f>
        <v/>
      </c>
    </row>
    <row r="4">
      <c r="A4" t="inlineStr">
        <is>
          <t>Issyk Kul Region</t>
        </is>
      </c>
      <c r="B4" s="48">
        <f>Construction_Clean!C4</f>
        <v/>
      </c>
      <c r="C4" s="48">
        <f>Construction_Clean!C40</f>
        <v/>
      </c>
      <c r="D4" s="48">
        <f>C4-B4</f>
        <v/>
      </c>
      <c r="E4" s="50">
        <f>(C4/B4-1)*100</f>
        <v/>
      </c>
      <c r="F4" s="50">
        <f>((C4/B4)^(1/4)-1)*100</f>
        <v/>
      </c>
      <c r="G4" s="50">
        <f>Construction_Clean!F4</f>
        <v/>
      </c>
      <c r="H4" s="50">
        <f>Construction_Clean!F40</f>
        <v/>
      </c>
      <c r="I4" s="50">
        <f>H4-G4</f>
        <v/>
      </c>
    </row>
    <row r="5">
      <c r="A5" t="inlineStr">
        <is>
          <t>Naryn Region</t>
        </is>
      </c>
      <c r="B5" s="48">
        <f>Construction_Clean!C5</f>
        <v/>
      </c>
      <c r="C5" s="48">
        <f>Construction_Clean!C41</f>
        <v/>
      </c>
      <c r="D5" s="48">
        <f>C5-B5</f>
        <v/>
      </c>
      <c r="E5" s="50">
        <f>(C5/B5-1)*100</f>
        <v/>
      </c>
      <c r="F5" s="50">
        <f>((C5/B5)^(1/4)-1)*100</f>
        <v/>
      </c>
      <c r="G5" s="50">
        <f>Construction_Clean!F5</f>
        <v/>
      </c>
      <c r="H5" s="50">
        <f>Construction_Clean!F41</f>
        <v/>
      </c>
      <c r="I5" s="50">
        <f>H5-G5</f>
        <v/>
      </c>
    </row>
    <row r="6">
      <c r="A6" t="inlineStr">
        <is>
          <t>Osh Region</t>
        </is>
      </c>
      <c r="B6" s="48">
        <f>Construction_Clean!C6</f>
        <v/>
      </c>
      <c r="C6" s="48">
        <f>Construction_Clean!C42</f>
        <v/>
      </c>
      <c r="D6" s="48">
        <f>C6-B6</f>
        <v/>
      </c>
      <c r="E6" s="50">
        <f>(C6/B6-1)*100</f>
        <v/>
      </c>
      <c r="F6" s="50">
        <f>((C6/B6)^(1/4)-1)*100</f>
        <v/>
      </c>
      <c r="G6" s="50">
        <f>Construction_Clean!F6</f>
        <v/>
      </c>
      <c r="H6" s="50">
        <f>Construction_Clean!F42</f>
        <v/>
      </c>
      <c r="I6" s="50">
        <f>H6-G6</f>
        <v/>
      </c>
    </row>
    <row r="7">
      <c r="A7" t="inlineStr">
        <is>
          <t>Talas Region</t>
        </is>
      </c>
      <c r="B7" s="48">
        <f>Construction_Clean!C7</f>
        <v/>
      </c>
      <c r="C7" s="48">
        <f>Construction_Clean!C43</f>
        <v/>
      </c>
      <c r="D7" s="48">
        <f>C7-B7</f>
        <v/>
      </c>
      <c r="E7" s="50">
        <f>(C7/B7-1)*100</f>
        <v/>
      </c>
      <c r="F7" s="50">
        <f>((C7/B7)^(1/4)-1)*100</f>
        <v/>
      </c>
      <c r="G7" s="50">
        <f>Construction_Clean!F7</f>
        <v/>
      </c>
      <c r="H7" s="50">
        <f>Construction_Clean!F43</f>
        <v/>
      </c>
      <c r="I7" s="50">
        <f>H7-G7</f>
        <v/>
      </c>
    </row>
    <row r="8">
      <c r="A8" t="inlineStr">
        <is>
          <t>Chui Region</t>
        </is>
      </c>
      <c r="B8" s="48">
        <f>Construction_Clean!C8</f>
        <v/>
      </c>
      <c r="C8" s="48">
        <f>Construction_Clean!C44</f>
        <v/>
      </c>
      <c r="D8" s="48">
        <f>C8-B8</f>
        <v/>
      </c>
      <c r="E8" s="50">
        <f>(C8/B8-1)*100</f>
        <v/>
      </c>
      <c r="F8" s="50">
        <f>((C8/B8)^(1/4)-1)*100</f>
        <v/>
      </c>
      <c r="G8" s="50">
        <f>Construction_Clean!F8</f>
        <v/>
      </c>
      <c r="H8" s="50">
        <f>Construction_Clean!F44</f>
        <v/>
      </c>
      <c r="I8" s="50">
        <f>H8-G8</f>
        <v/>
      </c>
    </row>
    <row r="9">
      <c r="A9" t="inlineStr">
        <is>
          <t>Bishkek City</t>
        </is>
      </c>
      <c r="B9" s="48">
        <f>Construction_Clean!C9</f>
        <v/>
      </c>
      <c r="C9" s="48">
        <f>Construction_Clean!C45</f>
        <v/>
      </c>
      <c r="D9" s="48">
        <f>C9-B9</f>
        <v/>
      </c>
      <c r="E9" s="50">
        <f>(C9/B9-1)*100</f>
        <v/>
      </c>
      <c r="F9" s="50">
        <f>((C9/B9)^(1/4)-1)*100</f>
        <v/>
      </c>
      <c r="G9" s="50">
        <f>Construction_Clean!F9</f>
        <v/>
      </c>
      <c r="H9" s="50">
        <f>Construction_Clean!F45</f>
        <v/>
      </c>
      <c r="I9" s="50">
        <f>H9-G9</f>
        <v/>
      </c>
    </row>
    <row r="10">
      <c r="A10" t="inlineStr">
        <is>
          <t>Osh City</t>
        </is>
      </c>
      <c r="B10" s="48">
        <f>Construction_Clean!C10</f>
        <v/>
      </c>
      <c r="C10" s="48">
        <f>Construction_Clean!C46</f>
        <v/>
      </c>
      <c r="D10" s="48">
        <f>C10-B10</f>
        <v/>
      </c>
      <c r="E10" s="50">
        <f>(C10/B10-1)*100</f>
        <v/>
      </c>
      <c r="F10" s="50">
        <f>((C10/B10)^(1/4)-1)*100</f>
        <v/>
      </c>
      <c r="G10" s="50">
        <f>Construction_Clean!F10</f>
        <v/>
      </c>
      <c r="H10" s="50">
        <f>Construction_Clean!F46</f>
        <v/>
      </c>
      <c r="I10" s="50">
        <f>H10-G10</f>
        <v/>
      </c>
    </row>
  </sheetData>
  <conditionalFormatting sqref="D2:I10">
    <cfRule type="colorScale" priority="1">
      <colorScale>
        <cfvo type="min"/>
        <cfvo type="percentile" val="50"/>
        <cfvo type="max"/>
        <color rgb="FFFDE9E7"/>
        <color rgb="FFFFF2CC"/>
        <color rgb="FFE2F0D9"/>
      </colorScale>
    </cfRule>
  </conditionalFormatting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52" customWidth="1" min="7" max="7"/>
    <col width="58" customWidth="1" min="8" max="8"/>
  </cols>
  <sheetData>
    <row r="1">
      <c r="A1" s="22" t="inlineStr">
        <is>
          <t>year</t>
        </is>
      </c>
      <c r="B1" s="22" t="inlineStr">
        <is>
          <t>region</t>
        </is>
      </c>
      <c r="C1" s="22" t="inlineStr">
        <is>
          <t>population_thousand</t>
        </is>
      </c>
      <c r="D1" s="22" t="inlineStr">
        <is>
          <t>population_persons</t>
        </is>
      </c>
      <c r="E1" s="22" t="inlineStr">
        <is>
          <t>residential_sqm</t>
        </is>
      </c>
      <c r="F1" s="22" t="inlineStr">
        <is>
          <t>residential_sqm_per_1000_residents</t>
        </is>
      </c>
      <c r="G1" s="22" t="inlineStr">
        <is>
          <t>comparability_note</t>
        </is>
      </c>
      <c r="H1" s="22" t="inlineStr">
        <is>
          <t>source_url</t>
        </is>
      </c>
    </row>
    <row r="2">
      <c r="A2" s="15" t="n">
        <v>2021</v>
      </c>
      <c r="B2" s="15" t="inlineStr">
        <is>
          <t>Batken Region</t>
        </is>
      </c>
      <c r="C2" s="44" t="n">
        <v>549</v>
      </c>
      <c r="D2" s="45">
        <f>C2*1000</f>
        <v/>
      </c>
      <c r="E2" s="45">
        <f>Construction_Clean!D2</f>
        <v/>
      </c>
      <c r="F2" s="44">
        <f>E2/D2*1000</f>
        <v/>
      </c>
      <c r="G2" s="15" t="str"/>
      <c r="H2" s="15" t="inlineStr">
        <is>
          <t>https://www.stat.gov.kg/en/opendata/category/39/</t>
        </is>
      </c>
    </row>
    <row r="3">
      <c r="A3" s="15" t="n">
        <v>2021</v>
      </c>
      <c r="B3" s="15" t="inlineStr">
        <is>
          <t>Jalal Abad Region</t>
        </is>
      </c>
      <c r="C3" s="44" t="n">
        <v>1266.3</v>
      </c>
      <c r="D3" s="45">
        <f>C3*1000</f>
        <v/>
      </c>
      <c r="E3" s="45">
        <f>Construction_Clean!D3</f>
        <v/>
      </c>
      <c r="F3" s="44">
        <f>E3/D3*1000</f>
        <v/>
      </c>
      <c r="G3" s="15" t="str"/>
      <c r="H3" s="15" t="inlineStr">
        <is>
          <t>https://www.stat.gov.kg/en/opendata/category/39/</t>
        </is>
      </c>
    </row>
    <row r="4">
      <c r="A4" s="15" t="n">
        <v>2021</v>
      </c>
      <c r="B4" s="15" t="inlineStr">
        <is>
          <t>Issyk Kul Region</t>
        </is>
      </c>
      <c r="C4" s="44" t="n">
        <v>527.7</v>
      </c>
      <c r="D4" s="45">
        <f>C4*1000</f>
        <v/>
      </c>
      <c r="E4" s="45">
        <f>Construction_Clean!D4</f>
        <v/>
      </c>
      <c r="F4" s="44">
        <f>E4/D4*1000</f>
        <v/>
      </c>
      <c r="G4" s="15" t="str"/>
      <c r="H4" s="15" t="inlineStr">
        <is>
          <t>https://www.stat.gov.kg/en/opendata/category/39/</t>
        </is>
      </c>
    </row>
    <row r="5">
      <c r="A5" s="15" t="n">
        <v>2021</v>
      </c>
      <c r="B5" s="15" t="inlineStr">
        <is>
          <t>Naryn Region</t>
        </is>
      </c>
      <c r="C5" s="44" t="n">
        <v>303.4</v>
      </c>
      <c r="D5" s="45">
        <f>C5*1000</f>
        <v/>
      </c>
      <c r="E5" s="45">
        <f>Construction_Clean!D5</f>
        <v/>
      </c>
      <c r="F5" s="44">
        <f>E5/D5*1000</f>
        <v/>
      </c>
      <c r="G5" s="15" t="str"/>
      <c r="H5" s="15" t="inlineStr">
        <is>
          <t>https://www.stat.gov.kg/en/opendata/category/39/</t>
        </is>
      </c>
    </row>
    <row r="6">
      <c r="A6" s="15" t="n">
        <v>2021</v>
      </c>
      <c r="B6" s="15" t="inlineStr">
        <is>
          <t>Osh Region</t>
        </is>
      </c>
      <c r="C6" s="44" t="n">
        <v>1410.8</v>
      </c>
      <c r="D6" s="45">
        <f>C6*1000</f>
        <v/>
      </c>
      <c r="E6" s="45">
        <f>Construction_Clean!D6</f>
        <v/>
      </c>
      <c r="F6" s="44">
        <f>E6/D6*1000</f>
        <v/>
      </c>
      <c r="G6" s="15" t="str"/>
      <c r="H6" s="15" t="inlineStr">
        <is>
          <t>https://www.stat.gov.kg/en/opendata/category/39/</t>
        </is>
      </c>
    </row>
    <row r="7">
      <c r="A7" s="15" t="n">
        <v>2021</v>
      </c>
      <c r="B7" s="15" t="inlineStr">
        <is>
          <t>Talas Region</t>
        </is>
      </c>
      <c r="C7" s="44" t="n">
        <v>267.6</v>
      </c>
      <c r="D7" s="45">
        <f>C7*1000</f>
        <v/>
      </c>
      <c r="E7" s="45">
        <f>Construction_Clean!D7</f>
        <v/>
      </c>
      <c r="F7" s="44">
        <f>E7/D7*1000</f>
        <v/>
      </c>
      <c r="G7" s="15" t="str"/>
      <c r="H7" s="15" t="inlineStr">
        <is>
          <t>https://www.stat.gov.kg/en/opendata/category/39/</t>
        </is>
      </c>
    </row>
    <row r="8">
      <c r="A8" s="15" t="n">
        <v>2021</v>
      </c>
      <c r="B8" s="15" t="inlineStr">
        <is>
          <t>Chui Region</t>
        </is>
      </c>
      <c r="C8" s="44" t="n">
        <v>1038.7</v>
      </c>
      <c r="D8" s="45">
        <f>C8*1000</f>
        <v/>
      </c>
      <c r="E8" s="45">
        <f>Construction_Clean!D8</f>
        <v/>
      </c>
      <c r="F8" s="44">
        <f>E8/D8*1000</f>
        <v/>
      </c>
      <c r="G8" s="15" t="str"/>
      <c r="H8" s="15" t="inlineStr">
        <is>
          <t>https://www.stat.gov.kg/en/opendata/category/39/</t>
        </is>
      </c>
    </row>
    <row r="9">
      <c r="A9" s="15" t="n">
        <v>2021</v>
      </c>
      <c r="B9" s="15" t="inlineStr">
        <is>
          <t>Bishkek City</t>
        </is>
      </c>
      <c r="C9" s="44" t="n">
        <v>1088.3</v>
      </c>
      <c r="D9" s="45">
        <f>C9*1000</f>
        <v/>
      </c>
      <c r="E9" s="45">
        <f>Construction_Clean!D9</f>
        <v/>
      </c>
      <c r="F9" s="44">
        <f>E9/D9*1000</f>
        <v/>
      </c>
      <c r="G9" s="15" t="str"/>
      <c r="H9" s="15" t="inlineStr">
        <is>
          <t>https://www.stat.gov.kg/en/opendata/category/39/</t>
        </is>
      </c>
    </row>
    <row r="10">
      <c r="A10" s="15" t="n">
        <v>2021</v>
      </c>
      <c r="B10" s="15" t="inlineStr">
        <is>
          <t>Osh City</t>
        </is>
      </c>
      <c r="C10" s="44" t="n">
        <v>337.8</v>
      </c>
      <c r="D10" s="45">
        <f>C10*1000</f>
        <v/>
      </c>
      <c r="E10" s="45">
        <f>Construction_Clean!D10</f>
        <v/>
      </c>
      <c r="F10" s="44">
        <f>E10/D10*1000</f>
        <v/>
      </c>
      <c r="G10" s="15" t="str"/>
      <c r="H10" s="15" t="inlineStr">
        <is>
          <t>https://www.stat.gov.kg/en/opendata/category/39/</t>
        </is>
      </c>
    </row>
    <row r="11">
      <c r="A11" s="15" t="n">
        <v>2022</v>
      </c>
      <c r="B11" s="15" t="inlineStr">
        <is>
          <t>Batken Region</t>
        </is>
      </c>
      <c r="C11" s="44" t="n">
        <v>559.5</v>
      </c>
      <c r="D11" s="45">
        <f>C11*1000</f>
        <v/>
      </c>
      <c r="E11" s="45">
        <f>Construction_Clean!D11</f>
        <v/>
      </c>
      <c r="F11" s="44">
        <f>E11/D11*1000</f>
        <v/>
      </c>
      <c r="G11" s="15" t="str"/>
      <c r="H11" s="15" t="inlineStr">
        <is>
          <t>https://www.stat.gov.kg/en/opendata/category/39/</t>
        </is>
      </c>
    </row>
    <row r="12">
      <c r="A12" s="15" t="n">
        <v>2022</v>
      </c>
      <c r="B12" s="15" t="inlineStr">
        <is>
          <t>Jalal Abad Region</t>
        </is>
      </c>
      <c r="C12" s="44" t="n">
        <v>1288.4</v>
      </c>
      <c r="D12" s="45">
        <f>C12*1000</f>
        <v/>
      </c>
      <c r="E12" s="45">
        <f>Construction_Clean!D12</f>
        <v/>
      </c>
      <c r="F12" s="44">
        <f>E12/D12*1000</f>
        <v/>
      </c>
      <c r="G12" s="15" t="str"/>
      <c r="H12" s="15" t="inlineStr">
        <is>
          <t>https://www.stat.gov.kg/en/opendata/category/39/</t>
        </is>
      </c>
    </row>
    <row r="13">
      <c r="A13" s="15" t="n">
        <v>2022</v>
      </c>
      <c r="B13" s="15" t="inlineStr">
        <is>
          <t>Issyk Kul Region</t>
        </is>
      </c>
      <c r="C13" s="44" t="n">
        <v>533.8</v>
      </c>
      <c r="D13" s="45">
        <f>C13*1000</f>
        <v/>
      </c>
      <c r="E13" s="45">
        <f>Construction_Clean!D13</f>
        <v/>
      </c>
      <c r="F13" s="44">
        <f>E13/D13*1000</f>
        <v/>
      </c>
      <c r="G13" s="15" t="str"/>
      <c r="H13" s="15" t="inlineStr">
        <is>
          <t>https://www.stat.gov.kg/en/opendata/category/39/</t>
        </is>
      </c>
    </row>
    <row r="14">
      <c r="A14" s="15" t="n">
        <v>2022</v>
      </c>
      <c r="B14" s="15" t="inlineStr">
        <is>
          <t>Naryn Region</t>
        </is>
      </c>
      <c r="C14" s="44" t="n">
        <v>306.5</v>
      </c>
      <c r="D14" s="45">
        <f>C14*1000</f>
        <v/>
      </c>
      <c r="E14" s="45">
        <f>Construction_Clean!D14</f>
        <v/>
      </c>
      <c r="F14" s="44">
        <f>E14/D14*1000</f>
        <v/>
      </c>
      <c r="G14" s="15" t="str"/>
      <c r="H14" s="15" t="inlineStr">
        <is>
          <t>https://www.stat.gov.kg/en/opendata/category/39/</t>
        </is>
      </c>
    </row>
    <row r="15">
      <c r="A15" s="15" t="n">
        <v>2022</v>
      </c>
      <c r="B15" s="15" t="inlineStr">
        <is>
          <t>Osh Region</t>
        </is>
      </c>
      <c r="C15" s="44" t="n">
        <v>1435.5</v>
      </c>
      <c r="D15" s="45">
        <f>C15*1000</f>
        <v/>
      </c>
      <c r="E15" s="45">
        <f>Construction_Clean!D15</f>
        <v/>
      </c>
      <c r="F15" s="44">
        <f>E15/D15*1000</f>
        <v/>
      </c>
      <c r="G15" s="15" t="str"/>
      <c r="H15" s="15" t="inlineStr">
        <is>
          <t>https://www.stat.gov.kg/en/opendata/category/39/</t>
        </is>
      </c>
    </row>
    <row r="16">
      <c r="A16" s="15" t="n">
        <v>2022</v>
      </c>
      <c r="B16" s="15" t="inlineStr">
        <is>
          <t>Talas Region</t>
        </is>
      </c>
      <c r="C16" s="44" t="n">
        <v>270.3</v>
      </c>
      <c r="D16" s="45">
        <f>C16*1000</f>
        <v/>
      </c>
      <c r="E16" s="45">
        <f>Construction_Clean!D16</f>
        <v/>
      </c>
      <c r="F16" s="44">
        <f>E16/D16*1000</f>
        <v/>
      </c>
      <c r="G16" s="15" t="str"/>
      <c r="H16" s="15" t="inlineStr">
        <is>
          <t>https://www.stat.gov.kg/en/opendata/category/39/</t>
        </is>
      </c>
    </row>
    <row r="17">
      <c r="A17" s="15" t="n">
        <v>2022</v>
      </c>
      <c r="B17" s="15" t="inlineStr">
        <is>
          <t>Chui Region</t>
        </is>
      </c>
      <c r="C17" s="44" t="n">
        <v>1054.5</v>
      </c>
      <c r="D17" s="45">
        <f>C17*1000</f>
        <v/>
      </c>
      <c r="E17" s="45">
        <f>Construction_Clean!D17</f>
        <v/>
      </c>
      <c r="F17" s="44">
        <f>E17/D17*1000</f>
        <v/>
      </c>
      <c r="G17" s="15" t="str"/>
      <c r="H17" s="15" t="inlineStr">
        <is>
          <t>https://www.stat.gov.kg/en/opendata/category/39/</t>
        </is>
      </c>
    </row>
    <row r="18">
      <c r="A18" s="15" t="n">
        <v>2022</v>
      </c>
      <c r="B18" s="15" t="inlineStr">
        <is>
          <t>Bishkek City</t>
        </is>
      </c>
      <c r="C18" s="44" t="n">
        <v>1113.8</v>
      </c>
      <c r="D18" s="45">
        <f>C18*1000</f>
        <v/>
      </c>
      <c r="E18" s="45">
        <f>Construction_Clean!D18</f>
        <v/>
      </c>
      <c r="F18" s="44">
        <f>E18/D18*1000</f>
        <v/>
      </c>
      <c r="G18" s="15" t="str"/>
      <c r="H18" s="15" t="inlineStr">
        <is>
          <t>https://www.stat.gov.kg/en/opendata/category/39/</t>
        </is>
      </c>
    </row>
    <row r="19">
      <c r="A19" s="15" t="n">
        <v>2022</v>
      </c>
      <c r="B19" s="15" t="inlineStr">
        <is>
          <t>Osh City</t>
        </is>
      </c>
      <c r="C19" s="44" t="n">
        <v>350.6</v>
      </c>
      <c r="D19" s="45">
        <f>C19*1000</f>
        <v/>
      </c>
      <c r="E19" s="45">
        <f>Construction_Clean!D19</f>
        <v/>
      </c>
      <c r="F19" s="44">
        <f>E19/D19*1000</f>
        <v/>
      </c>
      <c r="G19" s="15" t="str"/>
      <c r="H19" s="15" t="inlineStr">
        <is>
          <t>https://www.stat.gov.kg/en/opendata/category/39/</t>
        </is>
      </c>
    </row>
    <row r="20">
      <c r="A20" s="15" t="n">
        <v>2023</v>
      </c>
      <c r="B20" s="15" t="inlineStr">
        <is>
          <t>Batken Region</t>
        </is>
      </c>
      <c r="C20" s="44" t="n">
        <v>570.9</v>
      </c>
      <c r="D20" s="45">
        <f>C20*1000</f>
        <v/>
      </c>
      <c r="E20" s="45">
        <f>Construction_Clean!D20</f>
        <v/>
      </c>
      <c r="F20" s="44">
        <f>E20/D20*1000</f>
        <v/>
      </c>
      <c r="G20" s="15" t="str"/>
      <c r="H20" s="15" t="inlineStr">
        <is>
          <t>https://www.stat.gov.kg/en/opendata/category/39/</t>
        </is>
      </c>
    </row>
    <row r="21">
      <c r="A21" s="15" t="n">
        <v>2023</v>
      </c>
      <c r="B21" s="15" t="inlineStr">
        <is>
          <t>Jalal Abad Region</t>
        </is>
      </c>
      <c r="C21" s="44" t="n">
        <v>1311</v>
      </c>
      <c r="D21" s="45">
        <f>C21*1000</f>
        <v/>
      </c>
      <c r="E21" s="45">
        <f>Construction_Clean!D21</f>
        <v/>
      </c>
      <c r="F21" s="44">
        <f>E21/D21*1000</f>
        <v/>
      </c>
      <c r="G21" s="15" t="str"/>
      <c r="H21" s="15" t="inlineStr">
        <is>
          <t>https://www.stat.gov.kg/en/opendata/category/39/</t>
        </is>
      </c>
    </row>
    <row r="22">
      <c r="A22" s="15" t="n">
        <v>2023</v>
      </c>
      <c r="B22" s="15" t="inlineStr">
        <is>
          <t>Issyk Kul Region</t>
        </is>
      </c>
      <c r="C22" s="44" t="n">
        <v>538.4</v>
      </c>
      <c r="D22" s="45">
        <f>C22*1000</f>
        <v/>
      </c>
      <c r="E22" s="45">
        <f>Construction_Clean!D22</f>
        <v/>
      </c>
      <c r="F22" s="44">
        <f>E22/D22*1000</f>
        <v/>
      </c>
      <c r="G22" s="15" t="str"/>
      <c r="H22" s="15" t="inlineStr">
        <is>
          <t>https://www.stat.gov.kg/en/opendata/category/39/</t>
        </is>
      </c>
    </row>
    <row r="23">
      <c r="A23" s="15" t="n">
        <v>2023</v>
      </c>
      <c r="B23" s="15" t="inlineStr">
        <is>
          <t>Naryn Region</t>
        </is>
      </c>
      <c r="C23" s="44" t="n">
        <v>308.4</v>
      </c>
      <c r="D23" s="45">
        <f>C23*1000</f>
        <v/>
      </c>
      <c r="E23" s="45">
        <f>Construction_Clean!D23</f>
        <v/>
      </c>
      <c r="F23" s="44">
        <f>E23/D23*1000</f>
        <v/>
      </c>
      <c r="G23" s="15" t="str"/>
      <c r="H23" s="15" t="inlineStr">
        <is>
          <t>https://www.stat.gov.kg/en/opendata/category/39/</t>
        </is>
      </c>
    </row>
    <row r="24">
      <c r="A24" s="15" t="n">
        <v>2023</v>
      </c>
      <c r="B24" s="15" t="inlineStr">
        <is>
          <t>Osh Region</t>
        </is>
      </c>
      <c r="C24" s="44" t="n">
        <v>1460.4</v>
      </c>
      <c r="D24" s="45">
        <f>C24*1000</f>
        <v/>
      </c>
      <c r="E24" s="45">
        <f>Construction_Clean!D24</f>
        <v/>
      </c>
      <c r="F24" s="44">
        <f>E24/D24*1000</f>
        <v/>
      </c>
      <c r="G24" s="15" t="str"/>
      <c r="H24" s="15" t="inlineStr">
        <is>
          <t>https://www.stat.gov.kg/en/opendata/category/39/</t>
        </is>
      </c>
    </row>
    <row r="25">
      <c r="A25" s="15" t="n">
        <v>2023</v>
      </c>
      <c r="B25" s="15" t="inlineStr">
        <is>
          <t>Talas Region</t>
        </is>
      </c>
      <c r="C25" s="44" t="n">
        <v>273.5</v>
      </c>
      <c r="D25" s="45">
        <f>C25*1000</f>
        <v/>
      </c>
      <c r="E25" s="45">
        <f>Construction_Clean!D25</f>
        <v/>
      </c>
      <c r="F25" s="44">
        <f>E25/D25*1000</f>
        <v/>
      </c>
      <c r="G25" s="15" t="str"/>
      <c r="H25" s="15" t="inlineStr">
        <is>
          <t>https://www.stat.gov.kg/en/opendata/category/39/</t>
        </is>
      </c>
    </row>
    <row r="26">
      <c r="A26" s="15" t="n">
        <v>2023</v>
      </c>
      <c r="B26" s="15" t="inlineStr">
        <is>
          <t>Chui Region</t>
        </is>
      </c>
      <c r="C26" s="44" t="n">
        <v>1068.7</v>
      </c>
      <c r="D26" s="45">
        <f>C26*1000</f>
        <v/>
      </c>
      <c r="E26" s="45">
        <f>Construction_Clean!D26</f>
        <v/>
      </c>
      <c r="F26" s="44">
        <f>E26/D26*1000</f>
        <v/>
      </c>
      <c r="G26" s="15" t="str"/>
      <c r="H26" s="15" t="inlineStr">
        <is>
          <t>https://www.stat.gov.kg/en/opendata/category/39/</t>
        </is>
      </c>
    </row>
    <row r="27">
      <c r="A27" s="15" t="n">
        <v>2023</v>
      </c>
      <c r="B27" s="15" t="inlineStr">
        <is>
          <t>Bishkek City</t>
        </is>
      </c>
      <c r="C27" s="44" t="n">
        <v>1145</v>
      </c>
      <c r="D27" s="45">
        <f>C27*1000</f>
        <v/>
      </c>
      <c r="E27" s="45">
        <f>Construction_Clean!D27</f>
        <v/>
      </c>
      <c r="F27" s="44">
        <f>E27/D27*1000</f>
        <v/>
      </c>
      <c r="G27" s="15" t="str"/>
      <c r="H27" s="15" t="inlineStr">
        <is>
          <t>https://www.stat.gov.kg/en/opendata/category/39/</t>
        </is>
      </c>
    </row>
    <row r="28">
      <c r="A28" s="15" t="n">
        <v>2023</v>
      </c>
      <c r="B28" s="15" t="inlineStr">
        <is>
          <t>Osh City</t>
        </is>
      </c>
      <c r="C28" s="44" t="n">
        <v>361.3</v>
      </c>
      <c r="D28" s="45">
        <f>C28*1000</f>
        <v/>
      </c>
      <c r="E28" s="45">
        <f>Construction_Clean!D28</f>
        <v/>
      </c>
      <c r="F28" s="44">
        <f>E28/D28*1000</f>
        <v/>
      </c>
      <c r="G28" s="15" t="str"/>
      <c r="H28" s="15" t="inlineStr">
        <is>
          <t>https://www.stat.gov.kg/en/opendata/category/39/</t>
        </is>
      </c>
    </row>
    <row r="29">
      <c r="A29" s="15" t="n">
        <v>2024</v>
      </c>
      <c r="B29" s="15" t="inlineStr">
        <is>
          <t>Batken Region</t>
        </is>
      </c>
      <c r="C29" s="44" t="n">
        <v>583.4</v>
      </c>
      <c r="D29" s="45">
        <f>C29*1000</f>
        <v/>
      </c>
      <c r="E29" s="45">
        <f>Construction_Clean!D29</f>
        <v/>
      </c>
      <c r="F29" s="44">
        <f>E29/D29*1000</f>
        <v/>
      </c>
      <c r="G29" s="15" t="str"/>
      <c r="H29" s="15" t="inlineStr">
        <is>
          <t>https://www.stat.gov.kg/en/opendata/category/39/</t>
        </is>
      </c>
    </row>
    <row r="30">
      <c r="A30" s="15" t="n">
        <v>2024</v>
      </c>
      <c r="B30" s="15" t="inlineStr">
        <is>
          <t>Jalal Abad Region</t>
        </is>
      </c>
      <c r="C30" s="44" t="n">
        <v>1335.8</v>
      </c>
      <c r="D30" s="45">
        <f>C30*1000</f>
        <v/>
      </c>
      <c r="E30" s="45">
        <f>Construction_Clean!D30</f>
        <v/>
      </c>
      <c r="F30" s="44">
        <f>E30/D30*1000</f>
        <v/>
      </c>
      <c r="G30" s="15" t="str"/>
      <c r="H30" s="15" t="inlineStr">
        <is>
          <t>https://www.stat.gov.kg/en/opendata/category/39/</t>
        </is>
      </c>
    </row>
    <row r="31">
      <c r="A31" s="15" t="n">
        <v>2024</v>
      </c>
      <c r="B31" s="15" t="inlineStr">
        <is>
          <t>Issyk Kul Region</t>
        </is>
      </c>
      <c r="C31" s="44" t="n">
        <v>544.4</v>
      </c>
      <c r="D31" s="45">
        <f>C31*1000</f>
        <v/>
      </c>
      <c r="E31" s="45">
        <f>Construction_Clean!D31</f>
        <v/>
      </c>
      <c r="F31" s="44">
        <f>E31/D31*1000</f>
        <v/>
      </c>
      <c r="G31" s="15" t="str"/>
      <c r="H31" s="15" t="inlineStr">
        <is>
          <t>https://www.stat.gov.kg/en/opendata/category/39/</t>
        </is>
      </c>
    </row>
    <row r="32">
      <c r="A32" s="15" t="n">
        <v>2024</v>
      </c>
      <c r="B32" s="15" t="inlineStr">
        <is>
          <t>Naryn Region</t>
        </is>
      </c>
      <c r="C32" s="44" t="n">
        <v>312.1</v>
      </c>
      <c r="D32" s="45">
        <f>C32*1000</f>
        <v/>
      </c>
      <c r="E32" s="45">
        <f>Construction_Clean!D32</f>
        <v/>
      </c>
      <c r="F32" s="44">
        <f>E32/D32*1000</f>
        <v/>
      </c>
      <c r="G32" s="15" t="str"/>
      <c r="H32" s="15" t="inlineStr">
        <is>
          <t>https://www.stat.gov.kg/en/opendata/category/39/</t>
        </is>
      </c>
    </row>
    <row r="33">
      <c r="A33" s="15" t="n">
        <v>2024</v>
      </c>
      <c r="B33" s="15" t="inlineStr">
        <is>
          <t>Osh Region</t>
        </is>
      </c>
      <c r="C33" s="44" t="n">
        <v>1393.6</v>
      </c>
      <c r="D33" s="45">
        <f>C33*1000</f>
        <v/>
      </c>
      <c r="E33" s="45">
        <f>Construction_Clean!D33</f>
        <v/>
      </c>
      <c r="F33" s="44">
        <f>E33/D33*1000</f>
        <v/>
      </c>
      <c r="G33" s="15" t="inlineStr">
        <is>
          <t>Interpret cautiously because 2024 territorial reform changed relevant boundaries.</t>
        </is>
      </c>
      <c r="H33" s="15" t="inlineStr">
        <is>
          <t>https://www.stat.gov.kg/en/opendata/category/39/</t>
        </is>
      </c>
    </row>
    <row r="34">
      <c r="A34" s="15" t="n">
        <v>2024</v>
      </c>
      <c r="B34" s="15" t="inlineStr">
        <is>
          <t>Talas Region</t>
        </is>
      </c>
      <c r="C34" s="44" t="n">
        <v>277.1</v>
      </c>
      <c r="D34" s="45">
        <f>C34*1000</f>
        <v/>
      </c>
      <c r="E34" s="45">
        <f>Construction_Clean!D34</f>
        <v/>
      </c>
      <c r="F34" s="44">
        <f>E34/D34*1000</f>
        <v/>
      </c>
      <c r="G34" s="15" t="str"/>
      <c r="H34" s="15" t="inlineStr">
        <is>
          <t>https://www.stat.gov.kg/en/opendata/category/39/</t>
        </is>
      </c>
    </row>
    <row r="35">
      <c r="A35" s="15" t="n">
        <v>2024</v>
      </c>
      <c r="B35" s="15" t="inlineStr">
        <is>
          <t>Chui Region</t>
        </is>
      </c>
      <c r="C35" s="44" t="n">
        <v>957.6</v>
      </c>
      <c r="D35" s="45">
        <f>C35*1000</f>
        <v/>
      </c>
      <c r="E35" s="45">
        <f>Construction_Clean!D35</f>
        <v/>
      </c>
      <c r="F35" s="44">
        <f>E35/D35*1000</f>
        <v/>
      </c>
      <c r="G35" s="15" t="inlineStr">
        <is>
          <t>Interpret cautiously because 2024 territorial reform changed relevant boundaries.</t>
        </is>
      </c>
      <c r="H35" s="15" t="inlineStr">
        <is>
          <t>https://www.stat.gov.kg/en/opendata/category/39/</t>
        </is>
      </c>
    </row>
    <row r="36">
      <c r="A36" s="15" t="n">
        <v>2024</v>
      </c>
      <c r="B36" s="15" t="inlineStr">
        <is>
          <t>Bishkek City</t>
        </is>
      </c>
      <c r="C36" s="44" t="n">
        <v>1294.8</v>
      </c>
      <c r="D36" s="45">
        <f>C36*1000</f>
        <v/>
      </c>
      <c r="E36" s="45">
        <f>Construction_Clean!D36</f>
        <v/>
      </c>
      <c r="F36" s="44">
        <f>E36/D36*1000</f>
        <v/>
      </c>
      <c r="G36" s="15" t="inlineStr">
        <is>
          <t>Interpret cautiously because 2024 territorial reform changed relevant boundaries.</t>
        </is>
      </c>
      <c r="H36" s="15" t="inlineStr">
        <is>
          <t>https://www.stat.gov.kg/en/opendata/category/39/</t>
        </is>
      </c>
    </row>
    <row r="37">
      <c r="A37" s="15" t="n">
        <v>2024</v>
      </c>
      <c r="B37" s="15" t="inlineStr">
        <is>
          <t>Osh City</t>
        </is>
      </c>
      <c r="C37" s="44" t="n">
        <v>463.1</v>
      </c>
      <c r="D37" s="45">
        <f>C37*1000</f>
        <v/>
      </c>
      <c r="E37" s="45">
        <f>Construction_Clean!D37</f>
        <v/>
      </c>
      <c r="F37" s="44">
        <f>E37/D37*1000</f>
        <v/>
      </c>
      <c r="G37" s="15" t="inlineStr">
        <is>
          <t>Interpret cautiously because 2024 territorial reform changed relevant boundaries.</t>
        </is>
      </c>
      <c r="H37" s="15" t="inlineStr">
        <is>
          <t>https://www.stat.gov.kg/en/opendata/category/39/</t>
        </is>
      </c>
    </row>
    <row r="38">
      <c r="A38" s="15" t="n">
        <v>2025</v>
      </c>
      <c r="B38" s="15" t="inlineStr">
        <is>
          <t>Batken Region</t>
        </is>
      </c>
      <c r="C38" s="44" t="n">
        <v>594.7</v>
      </c>
      <c r="D38" s="45">
        <f>C38*1000</f>
        <v/>
      </c>
      <c r="E38" s="45">
        <f>Construction_Clean!D38</f>
        <v/>
      </c>
      <c r="F38" s="44">
        <f>E38/D38*1000</f>
        <v/>
      </c>
      <c r="G38" s="15" t="str"/>
      <c r="H38" s="15" t="inlineStr">
        <is>
          <t>https://www.stat.gov.kg/en/opendata/category/39/</t>
        </is>
      </c>
    </row>
    <row r="39">
      <c r="A39" s="15" t="n">
        <v>2025</v>
      </c>
      <c r="B39" s="15" t="inlineStr">
        <is>
          <t>Jalal Abad Region</t>
        </is>
      </c>
      <c r="C39" s="44" t="n">
        <v>1358.5</v>
      </c>
      <c r="D39" s="45">
        <f>C39*1000</f>
        <v/>
      </c>
      <c r="E39" s="45">
        <f>Construction_Clean!D39</f>
        <v/>
      </c>
      <c r="F39" s="44">
        <f>E39/D39*1000</f>
        <v/>
      </c>
      <c r="G39" s="15" t="str"/>
      <c r="H39" s="15" t="inlineStr">
        <is>
          <t>https://www.stat.gov.kg/en/opendata/category/39/</t>
        </is>
      </c>
    </row>
    <row r="40">
      <c r="A40" s="15" t="n">
        <v>2025</v>
      </c>
      <c r="B40" s="15" t="inlineStr">
        <is>
          <t>Issyk Kul Region</t>
        </is>
      </c>
      <c r="C40" s="44" t="n">
        <v>549.8</v>
      </c>
      <c r="D40" s="45">
        <f>C40*1000</f>
        <v/>
      </c>
      <c r="E40" s="45">
        <f>Construction_Clean!D40</f>
        <v/>
      </c>
      <c r="F40" s="44">
        <f>E40/D40*1000</f>
        <v/>
      </c>
      <c r="G40" s="15" t="str"/>
      <c r="H40" s="15" t="inlineStr">
        <is>
          <t>https://www.stat.gov.kg/en/opendata/category/39/</t>
        </is>
      </c>
    </row>
    <row r="41">
      <c r="A41" s="15" t="n">
        <v>2025</v>
      </c>
      <c r="B41" s="15" t="inlineStr">
        <is>
          <t>Naryn Region</t>
        </is>
      </c>
      <c r="C41" s="44" t="n">
        <v>314.9</v>
      </c>
      <c r="D41" s="45">
        <f>C41*1000</f>
        <v/>
      </c>
      <c r="E41" s="45">
        <f>Construction_Clean!D41</f>
        <v/>
      </c>
      <c r="F41" s="44">
        <f>E41/D41*1000</f>
        <v/>
      </c>
      <c r="G41" s="15" t="str"/>
      <c r="H41" s="15" t="inlineStr">
        <is>
          <t>https://www.stat.gov.kg/en/opendata/category/39/</t>
        </is>
      </c>
    </row>
    <row r="42">
      <c r="A42" s="15" t="n">
        <v>2025</v>
      </c>
      <c r="B42" s="15" t="inlineStr">
        <is>
          <t>Osh Region</t>
        </is>
      </c>
      <c r="C42" s="44" t="n">
        <v>1416.7</v>
      </c>
      <c r="D42" s="45">
        <f>C42*1000</f>
        <v/>
      </c>
      <c r="E42" s="45">
        <f>Construction_Clean!D42</f>
        <v/>
      </c>
      <c r="F42" s="44">
        <f>E42/D42*1000</f>
        <v/>
      </c>
      <c r="G42" s="15" t="inlineStr">
        <is>
          <t>Interpret cautiously because 2024 territorial reform changed relevant boundaries.</t>
        </is>
      </c>
      <c r="H42" s="15" t="inlineStr">
        <is>
          <t>https://www.stat.gov.kg/en/opendata/category/39/</t>
        </is>
      </c>
    </row>
    <row r="43">
      <c r="A43" s="15" t="n">
        <v>2025</v>
      </c>
      <c r="B43" s="15" t="inlineStr">
        <is>
          <t>Talas Region</t>
        </is>
      </c>
      <c r="C43" s="44" t="n">
        <v>280.5</v>
      </c>
      <c r="D43" s="45">
        <f>C43*1000</f>
        <v/>
      </c>
      <c r="E43" s="45">
        <f>Construction_Clean!D43</f>
        <v/>
      </c>
      <c r="F43" s="44">
        <f>E43/D43*1000</f>
        <v/>
      </c>
      <c r="G43" s="15" t="str"/>
      <c r="H43" s="15" t="inlineStr">
        <is>
          <t>https://www.stat.gov.kg/en/opendata/category/39/</t>
        </is>
      </c>
    </row>
    <row r="44">
      <c r="A44" s="15" t="n">
        <v>2025</v>
      </c>
      <c r="B44" s="15" t="inlineStr">
        <is>
          <t>Chui Region</t>
        </is>
      </c>
      <c r="C44" s="44" t="n">
        <v>971.3</v>
      </c>
      <c r="D44" s="45">
        <f>C44*1000</f>
        <v/>
      </c>
      <c r="E44" s="45">
        <f>Construction_Clean!D44</f>
        <v/>
      </c>
      <c r="F44" s="44">
        <f>E44/D44*1000</f>
        <v/>
      </c>
      <c r="G44" s="15" t="inlineStr">
        <is>
          <t>Interpret cautiously because 2024 territorial reform changed relevant boundaries.</t>
        </is>
      </c>
      <c r="H44" s="15" t="inlineStr">
        <is>
          <t>https://www.stat.gov.kg/en/opendata/category/39/</t>
        </is>
      </c>
    </row>
    <row r="45">
      <c r="A45" s="15" t="n">
        <v>2025</v>
      </c>
      <c r="B45" s="15" t="inlineStr">
        <is>
          <t>Bishkek City</t>
        </is>
      </c>
      <c r="C45" s="44" t="n">
        <v>1321.9</v>
      </c>
      <c r="D45" s="45">
        <f>C45*1000</f>
        <v/>
      </c>
      <c r="E45" s="45">
        <f>Construction_Clean!D45</f>
        <v/>
      </c>
      <c r="F45" s="44">
        <f>E45/D45*1000</f>
        <v/>
      </c>
      <c r="G45" s="15" t="inlineStr">
        <is>
          <t>Interpret cautiously because 2024 territorial reform changed relevant boundaries.</t>
        </is>
      </c>
      <c r="H45" s="15" t="inlineStr">
        <is>
          <t>https://www.stat.gov.kg/en/opendata/category/39/</t>
        </is>
      </c>
    </row>
    <row r="46">
      <c r="A46" s="15" t="n">
        <v>2025</v>
      </c>
      <c r="B46" s="15" t="inlineStr">
        <is>
          <t>Osh City</t>
        </is>
      </c>
      <c r="C46" s="44" t="n">
        <v>473.5</v>
      </c>
      <c r="D46" s="45">
        <f>C46*1000</f>
        <v/>
      </c>
      <c r="E46" s="45">
        <f>Construction_Clean!D46</f>
        <v/>
      </c>
      <c r="F46" s="44">
        <f>E46/D46*1000</f>
        <v/>
      </c>
      <c r="G46" s="15" t="inlineStr">
        <is>
          <t>Interpret cautiously because 2024 territorial reform changed relevant boundaries.</t>
        </is>
      </c>
      <c r="H46" s="15" t="inlineStr">
        <is>
          <t>https://www.stat.gov.kg/en/opendata/category/39/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58" customWidth="1" min="3" max="3"/>
    <col width="22" customWidth="1" min="4" max="4"/>
  </cols>
  <sheetData>
    <row r="1">
      <c r="A1" s="22" t="inlineStr">
        <is>
          <t>check</t>
        </is>
      </c>
      <c r="B1" s="22" t="inlineStr">
        <is>
          <t>expected</t>
        </is>
      </c>
      <c r="C1" s="22" t="inlineStr">
        <is>
          <t>observed</t>
        </is>
      </c>
      <c r="D1" s="22" t="inlineStr">
        <is>
          <t>status</t>
        </is>
      </c>
    </row>
    <row r="2">
      <c r="A2" s="15" t="inlineStr">
        <is>
          <t>Number of territories per year</t>
        </is>
      </c>
      <c r="B2" s="15" t="inlineStr">
        <is>
          <t>9</t>
        </is>
      </c>
      <c r="C2" s="15" t="inlineStr">
        <is>
          <t>9 in every year</t>
        </is>
      </c>
      <c r="D2" s="15" t="inlineStr">
        <is>
          <t>PASS</t>
        </is>
      </c>
    </row>
    <row r="3">
      <c r="A3" s="15" t="inlineStr">
        <is>
          <t>Required years</t>
        </is>
      </c>
      <c r="B3" s="15" t="inlineStr">
        <is>
          <t>2021, 2022, 2023, 2024, 2025</t>
        </is>
      </c>
      <c r="C3" s="15" t="inlineStr">
        <is>
          <t>All present</t>
        </is>
      </c>
      <c r="D3" s="15" t="inlineStr">
        <is>
          <t>PASS</t>
        </is>
      </c>
    </row>
    <row r="4">
      <c r="A4" s="15" t="inlineStr">
        <is>
          <t>Missing primary construction observations</t>
        </is>
      </c>
      <c r="B4" s="15" t="inlineStr">
        <is>
          <t>0</t>
        </is>
      </c>
      <c r="C4" s="15" t="inlineStr">
        <is>
          <t>0</t>
        </is>
      </c>
      <c r="D4" s="15" t="inlineStr">
        <is>
          <t>PASS</t>
        </is>
      </c>
    </row>
    <row r="5">
      <c r="A5" s="15" t="inlineStr">
        <is>
          <t>Official unit</t>
        </is>
      </c>
      <c r="B5" s="15" t="inlineStr">
        <is>
          <t>Thousands of square meters</t>
        </is>
      </c>
      <c r="C5" s="15" t="inlineStr">
        <is>
          <t>thous. sq.m.</t>
        </is>
      </c>
      <c r="D5" s="15" t="inlineStr">
        <is>
          <t>PASS</t>
        </is>
      </c>
    </row>
    <row r="6">
      <c r="A6" s="15" t="inlineStr">
        <is>
          <t>Primary observation count</t>
        </is>
      </c>
      <c r="B6" s="15" t="inlineStr">
        <is>
          <t>45</t>
        </is>
      </c>
      <c r="C6" s="15" t="inlineStr">
        <is>
          <t>45</t>
        </is>
      </c>
      <c r="D6" s="15" t="inlineStr">
        <is>
          <t>PASS</t>
        </is>
      </c>
    </row>
    <row r="7">
      <c r="A7" s="15" t="inlineStr">
        <is>
          <t>Name standardization</t>
        </is>
      </c>
      <c r="B7" s="15" t="inlineStr">
        <is>
          <t>Nine stable manuscript labels</t>
        </is>
      </c>
      <c r="C7" s="15" t="inlineStr">
        <is>
          <t>Completed; source labels preserved separately</t>
        </is>
      </c>
      <c r="D7" s="15" t="inlineStr">
        <is>
          <t>PASS</t>
        </is>
      </c>
    </row>
    <row r="8">
      <c r="A8" s="15" t="inlineStr">
        <is>
          <t>Administrative boundary comparability</t>
        </is>
      </c>
      <c r="B8" s="15" t="inlineStr">
        <is>
          <t>Investigated</t>
        </is>
      </c>
      <c r="C8" s="15" t="inlineStr">
        <is>
          <t>2024 reform changed Bishkek and Osh related boundaries</t>
        </is>
      </c>
      <c r="D8" s="15" t="inlineStr">
        <is>
          <t>CAUTION</t>
        </is>
      </c>
    </row>
    <row r="9">
      <c r="A9" s="15" t="inlineStr">
        <is>
          <t>Population normalization comparability</t>
        </is>
      </c>
      <c r="B9" s="15" t="inlineStr">
        <is>
          <t>Stable boundaries preferred</t>
        </is>
      </c>
      <c r="C9" s="15" t="inlineStr">
        <is>
          <t>Not fully stable across reform</t>
        </is>
      </c>
      <c r="D9" s="15" t="inlineStr">
        <is>
          <t>EXPLORATORY ONLY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5" customWidth="1" min="3" max="3"/>
    <col width="25" customWidth="1" min="4" max="4"/>
    <col width="19" customWidth="1" min="5" max="5"/>
    <col width="25" customWidth="1" min="6" max="6"/>
    <col width="40" customWidth="1" min="7" max="7"/>
    <col width="38" customWidth="1" min="8" max="8"/>
    <col width="55" customWidth="1" min="9" max="9"/>
  </cols>
  <sheetData>
    <row r="1">
      <c r="A1" s="22" t="inlineStr">
        <is>
          <t>source_title</t>
        </is>
      </c>
      <c r="B1" s="22" t="inlineStr">
        <is>
          <t>organization</t>
        </is>
      </c>
      <c r="C1" s="22" t="inlineStr">
        <is>
          <t>exact_url</t>
        </is>
      </c>
      <c r="D1" s="22" t="inlineStr">
        <is>
          <t>format</t>
        </is>
      </c>
      <c r="E1" s="22" t="inlineStr">
        <is>
          <t>years</t>
        </is>
      </c>
      <c r="F1" s="22" t="inlineStr">
        <is>
          <t>geography</t>
        </is>
      </c>
      <c r="G1" s="22" t="inlineStr">
        <is>
          <t>unit_or_definition</t>
        </is>
      </c>
      <c r="H1" s="22" t="inlineStr">
        <is>
          <t>role_in_paper</t>
        </is>
      </c>
      <c r="I1" s="22" t="inlineStr">
        <is>
          <t>comparability_or_method_note</t>
        </is>
      </c>
    </row>
    <row r="2">
      <c r="A2" s="15" t="inlineStr">
        <is>
          <t>Dwelling houses by territory</t>
        </is>
      </c>
      <c r="B2" s="15" t="inlineStr">
        <is>
          <t>National Statistical Committee of the Kyrgyz Republic</t>
        </is>
      </c>
      <c r="C2" s="15" t="inlineStr">
        <is>
          <t>https://stat.gov.kg/en/opendata/category/103/</t>
        </is>
      </c>
      <c r="D2" s="15" t="inlineStr">
        <is>
          <t>Web table, Excel, XML SDMX, JSON</t>
        </is>
      </c>
      <c r="E2" s="15" t="inlineStr">
        <is>
          <t>2021 to 2025</t>
        </is>
      </c>
      <c r="F2" s="15" t="inlineStr">
        <is>
          <t>Nine territories</t>
        </is>
      </c>
      <c r="G2" s="15" t="inlineStr">
        <is>
          <t>Thousands of square meters</t>
        </is>
      </c>
      <c r="H2" s="15" t="inlineStr">
        <is>
          <t>Primary construction dataset for RQ1 to RQ4</t>
        </is>
      </c>
      <c r="I2" s="15" t="inlineStr">
        <is>
          <t>Published series spans a 2024 administrative territorial reform; regional interpretation requires caution.</t>
        </is>
      </c>
    </row>
    <row r="3">
      <c r="A3" s="15" t="inlineStr">
        <is>
          <t>Dwelling houses by territory JSON</t>
        </is>
      </c>
      <c r="B3" s="15" t="inlineStr">
        <is>
          <t>National Statistical Committee of the Kyrgyz Republic</t>
        </is>
      </c>
      <c r="C3" s="15" t="inlineStr">
        <is>
          <t>https://stat.gov.kg/en/opendata/category/103/json</t>
        </is>
      </c>
      <c r="D3" s="15" t="inlineStr">
        <is>
          <t>JSON</t>
        </is>
      </c>
      <c r="E3" s="15" t="inlineStr">
        <is>
          <t>2021 to 2025</t>
        </is>
      </c>
      <c r="F3" s="15" t="inlineStr">
        <is>
          <t>Nine territories</t>
        </is>
      </c>
      <c r="G3" s="15" t="inlineStr">
        <is>
          <t>Thousands of square meters</t>
        </is>
      </c>
      <c r="H3" s="15" t="inlineStr">
        <is>
          <t>Machine readable raw extraction used in this package</t>
        </is>
      </c>
      <c r="I3" s="15" t="inlineStr">
        <is>
          <t>Official endpoint accessed on 2026-10-02.</t>
        </is>
      </c>
    </row>
    <row r="4">
      <c r="A4" s="15" t="inlineStr">
        <is>
          <t>Construction statistics and methodology</t>
        </is>
      </c>
      <c r="B4" s="15" t="inlineStr">
        <is>
          <t>National Statistical Committee of the Kyrgyz Republic</t>
        </is>
      </c>
      <c r="C4" s="15" t="inlineStr">
        <is>
          <t>https://stat.gov.kg/en/statistics/stroitelstvo/</t>
        </is>
      </c>
      <c r="D4" s="15" t="inlineStr">
        <is>
          <t>Web page and methodology PDF</t>
        </is>
      </c>
      <c r="E4" s="15" t="inlineStr">
        <is>
          <t>Current methodology</t>
        </is>
      </c>
      <c r="F4" s="15" t="inlineStr">
        <is>
          <t>Kyrgyz Republic</t>
        </is>
      </c>
      <c r="G4" s="15" t="inlineStr">
        <is>
          <t>Commissioning of residential buildings and dormitories in square meters of total area, with territorial reporting</t>
        </is>
      </c>
      <c r="H4" s="15" t="inlineStr">
        <is>
          <t>Definitions, reporting forms, revision practices, methods</t>
        </is>
      </c>
      <c r="I4" s="15" t="inlineStr">
        <is>
          <t>Metadata describes preliminary data and revisions and includes reporting by legal and physical persons.</t>
        </is>
      </c>
    </row>
    <row r="5">
      <c r="A5" s="15" t="inlineStr">
        <is>
          <t>Resident population as of the beginning of the year</t>
        </is>
      </c>
      <c r="B5" s="15" t="inlineStr">
        <is>
          <t>National Statistical Committee of the Kyrgyz Republic</t>
        </is>
      </c>
      <c r="C5" s="15" t="inlineStr">
        <is>
          <t>https://www.stat.gov.kg/en/opendata/category/39/</t>
        </is>
      </c>
      <c r="D5" s="15" t="inlineStr">
        <is>
          <t>Web table, Excel, XML SDMX, JSON</t>
        </is>
      </c>
      <c r="E5" s="15" t="inlineStr">
        <is>
          <t>2021 to 2025</t>
        </is>
      </c>
      <c r="F5" s="15" t="inlineStr">
        <is>
          <t>Nine territories</t>
        </is>
      </c>
      <c r="G5" s="15" t="inlineStr">
        <is>
          <t>Thousands of people</t>
        </is>
      </c>
      <c r="H5" s="15" t="inlineStr">
        <is>
          <t>Optional population normalization</t>
        </is>
      </c>
      <c r="I5" s="15" t="inlineStr">
        <is>
          <t>2024 administrative reform materially affects Bishkek, Chui, Osh City, and Osh Region comparability.</t>
        </is>
      </c>
    </row>
    <row r="6">
      <c r="A6" s="15" t="inlineStr">
        <is>
          <t>Main results of investment and construction activities</t>
        </is>
      </c>
      <c r="B6" s="15" t="inlineStr">
        <is>
          <t>National Statistical Committee of the Kyrgyz Republic</t>
        </is>
      </c>
      <c r="C6" s="15" t="inlineStr">
        <is>
          <t>https://stat.gov.kg/en/publications/statisticheskij-byulleten-osnovnye-pokazateli-investicionnoj-i-stroitelnoj-deyatelnosti/</t>
        </is>
      </c>
      <c r="D6" s="15" t="inlineStr">
        <is>
          <t>Annual statistical publication</t>
        </is>
      </c>
      <c r="E6" s="15" t="inlineStr">
        <is>
          <t>Annual editions</t>
        </is>
      </c>
      <c r="F6" s="15" t="inlineStr">
        <is>
          <t>Kyrgyz Republic and territories</t>
        </is>
      </c>
      <c r="G6" s="15" t="inlineStr">
        <is>
          <t>Construction and investment indicators</t>
        </is>
      </c>
      <c r="H6" s="15" t="inlineStr">
        <is>
          <t>Context and cross checking</t>
        </is>
      </c>
      <c r="I6" s="15" t="inlineStr">
        <is>
          <t>Use only variables matching the manuscript concept.</t>
        </is>
      </c>
    </row>
    <row r="7">
      <c r="A7" s="15" t="inlineStr">
        <is>
          <t>2022 Population and Housing Census</t>
        </is>
      </c>
      <c r="B7" s="15" t="inlineStr">
        <is>
          <t>National Statistical Committee of the Kyrgyz Republic</t>
        </is>
      </c>
      <c r="C7" s="15" t="inlineStr">
        <is>
          <t>https://www.stat.gov.kg/en/publications/perepis-naseleniya-i-zhilishnogo-fonda-kyrgyzskoj-respubliki-2022-goda-kniga-i-osnovnye-socialno-demograficheskie-harakteristiki/</t>
        </is>
      </c>
      <c r="D7" s="15" t="inlineStr">
        <is>
          <t>Statistical publication</t>
        </is>
      </c>
      <c r="E7" s="15" t="inlineStr">
        <is>
          <t>2022</t>
        </is>
      </c>
      <c r="F7" s="15" t="inlineStr">
        <is>
          <t>Kyrgyz Republic and territories</t>
        </is>
      </c>
      <c r="G7" s="15" t="inlineStr">
        <is>
          <t>Population and housing characteristics</t>
        </is>
      </c>
      <c r="H7" s="15" t="inlineStr">
        <is>
          <t>Background context</t>
        </is>
      </c>
      <c r="I7" s="15" t="inlineStr">
        <is>
          <t>Not used as a substitute for annual population observations.</t>
        </is>
      </c>
    </row>
    <row r="8">
      <c r="A8" s="15" t="inlineStr">
        <is>
          <t>Housing stock and housing conditions publication notice</t>
        </is>
      </c>
      <c r="B8" s="15" t="inlineStr">
        <is>
          <t>National Statistical Committee of the Kyrgyz Republic</t>
        </is>
      </c>
      <c r="C8" s="15" t="inlineStr">
        <is>
          <t>https://stat.gov.kg/ru/news/podgotovlena-k-pechati-statisticheskaya-publikaciya-zhilishnyj-fond-i-zhilishnye-usloviya-naseleniya-kyrgyzskoj-respubliki/</t>
        </is>
      </c>
      <c r="D8" s="15" t="inlineStr">
        <is>
          <t>Official publication notice</t>
        </is>
      </c>
      <c r="E8" s="15" t="inlineStr">
        <is>
          <t>2024 publication based largely on 2022 census</t>
        </is>
      </c>
      <c r="F8" s="15" t="inlineStr">
        <is>
          <t>Kyrgyz Republic</t>
        </is>
      </c>
      <c r="G8" s="15" t="inlineStr">
        <is>
          <t>Housing stock characteristics</t>
        </is>
      </c>
      <c r="H8" s="15" t="inlineStr">
        <is>
          <t>Supporting context</t>
        </is>
      </c>
      <c r="I8" s="15" t="inlineStr">
        <is>
          <t>Contextual source rather than analytical dataset.</t>
        </is>
      </c>
    </row>
    <row r="9">
      <c r="A9" s="15" t="inlineStr">
        <is>
          <t>Enhanced services and infrastructure in cities of the Kyrgyz Republic</t>
        </is>
      </c>
      <c r="B9" s="15" t="inlineStr">
        <is>
          <t>World Bank</t>
        </is>
      </c>
      <c r="C9" s="15" t="inlineStr">
        <is>
          <t>https://www.worldbank.org/en/results/2023/08/30/enhanced-services-and-infrastructure-in-cities-of-the-kyrgyz-republic</t>
        </is>
      </c>
      <c r="D9" s="15" t="inlineStr">
        <is>
          <t>Institutional results article</t>
        </is>
      </c>
      <c r="E9" s="15" t="inlineStr">
        <is>
          <t>Published 2023</t>
        </is>
      </c>
      <c r="F9" s="15" t="inlineStr">
        <is>
          <t>Kyrgyz Republic cities</t>
        </is>
      </c>
      <c r="G9" s="15" t="inlineStr">
        <is>
          <t>Urban services and municipal infrastructure context</t>
        </is>
      </c>
      <c r="H9" s="15" t="inlineStr">
        <is>
          <t>Introduction and discussion context</t>
        </is>
      </c>
      <c r="I9" s="15" t="inlineStr">
        <is>
          <t>Not a substitute for peer reviewed literature.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34" customWidth="1" min="3" max="3"/>
    <col width="30" customWidth="1" min="4" max="4"/>
    <col width="60" customWidth="1" min="5" max="5"/>
    <col width="26" customWidth="1" min="6" max="6"/>
    <col width="28" customWidth="1" min="7" max="7"/>
    <col width="45" customWidth="1" min="8" max="8"/>
    <col width="52" customWidth="1" min="9" max="9"/>
    <col width="55" customWidth="1" min="10" max="10"/>
    <col width="52" customWidth="1" min="11" max="11"/>
    <col width="42" customWidth="1" min="12" max="12"/>
    <col width="32" customWidth="1" min="13" max="13"/>
    <col width="55" customWidth="1" min="14" max="14"/>
  </cols>
  <sheetData>
    <row r="1">
      <c r="A1" s="22" t="inlineStr">
        <is>
          <t>citation</t>
        </is>
      </c>
      <c r="B1" s="22" t="inlineStr">
        <is>
          <t>year</t>
        </is>
      </c>
      <c r="C1" s="22" t="inlineStr">
        <is>
          <t>journal</t>
        </is>
      </c>
      <c r="D1" s="22" t="inlineStr">
        <is>
          <t>doi</t>
        </is>
      </c>
      <c r="E1" s="22" t="inlineStr">
        <is>
          <t>url</t>
        </is>
      </c>
      <c r="F1" s="22" t="inlineStr">
        <is>
          <t>study_location</t>
        </is>
      </c>
      <c r="G1" s="22" t="inlineStr">
        <is>
          <t>study_period</t>
        </is>
      </c>
      <c r="H1" s="22" t="inlineStr">
        <is>
          <t>objective</t>
        </is>
      </c>
      <c r="I1" s="22" t="inlineStr">
        <is>
          <t>data_and_method</t>
        </is>
      </c>
      <c r="J1" s="22" t="inlineStr">
        <is>
          <t>main_findings_or_focus</t>
        </is>
      </c>
      <c r="K1" s="22" t="inlineStr">
        <is>
          <t>limitations_for_this_paper</t>
        </is>
      </c>
      <c r="L1" s="22" t="inlineStr">
        <is>
          <t>relevance</t>
        </is>
      </c>
      <c r="M1" s="22" t="inlineStr">
        <is>
          <t>section</t>
        </is>
      </c>
      <c r="N1" s="22" t="inlineStr">
        <is>
          <t>claims_supported</t>
        </is>
      </c>
    </row>
    <row r="2">
      <c r="A2" s="15" t="inlineStr">
        <is>
          <t>Leupold, D. Skyrise, Smog and Seismic Menace. In the El Dorado of Bishkek's Elite Housing.</t>
        </is>
      </c>
      <c r="B2" s="15" t="n">
        <v>2023</v>
      </c>
      <c r="C2" s="15" t="inlineStr">
        <is>
          <t>Europe Asia Studies</t>
        </is>
      </c>
      <c r="D2" s="15" t="inlineStr">
        <is>
          <t>10.1080/09668136.2023.2185203</t>
        </is>
      </c>
      <c r="E2" s="15" t="inlineStr">
        <is>
          <t>https://www.tandfonline.com/doi/full/10.1080/09668136.2023.2185203</t>
        </is>
      </c>
      <c r="F2" s="15" t="inlineStr">
        <is>
          <t>Bishkek</t>
        </is>
      </c>
      <c r="G2" s="15" t="inlineStr">
        <is>
          <t>Contemporary period, with housing boom discussed since 2012</t>
        </is>
      </c>
      <c r="H2" s="15" t="inlineStr">
        <is>
          <t>Examine elite housing, new build development, and urban transformation</t>
        </is>
      </c>
      <c r="I2" s="15" t="inlineStr">
        <is>
          <t>Qualitative urban research</t>
        </is>
      </c>
      <c r="J2" s="15" t="inlineStr">
        <is>
          <t>Documents a recent Bishkek housing boom and associated social, environmental, and urban concerns</t>
        </is>
      </c>
      <c r="K2" s="15" t="inlineStr">
        <is>
          <t>Bishkek specific and not a national territorial comparison</t>
        </is>
      </c>
      <c r="L2" s="15" t="inlineStr">
        <is>
          <t>Recent housing development context</t>
        </is>
      </c>
      <c r="M2" s="15" t="inlineStr">
        <is>
          <t>Literature Review and Discussion</t>
        </is>
      </c>
      <c r="N2" s="15" t="inlineStr">
        <is>
          <t>Recent Bishkek apartment and elite housing development; urban transformation context</t>
        </is>
      </c>
    </row>
    <row r="3">
      <c r="A3" s="15" t="inlineStr">
        <is>
          <t>Watson, C. S., Elliott, J. R., Amey, R. M. J., &amp; Abdrakhmatov, K. E. Analyzing Satellite Derived 3D Building Inventories and Quantifying Urban Growth towards Active Faults.</t>
        </is>
      </c>
      <c r="B3" s="15" t="n">
        <v>2022</v>
      </c>
      <c r="C3" s="15" t="inlineStr">
        <is>
          <t>Remote Sensing</t>
        </is>
      </c>
      <c r="D3" s="15" t="inlineStr">
        <is>
          <t>10.3390/rs14225790</t>
        </is>
      </c>
      <c r="E3" s="15" t="inlineStr">
        <is>
          <t>https://www.mdpi.com/2072-4292/14/22/5790</t>
        </is>
      </c>
      <c r="F3" s="15" t="inlineStr">
        <is>
          <t>Bishkek</t>
        </is>
      </c>
      <c r="G3" s="15" t="inlineStr">
        <is>
          <t>1979 to 2021</t>
        </is>
      </c>
      <c r="H3" s="15" t="inlineStr">
        <is>
          <t>Quantify urban building growth and expansion toward active faults</t>
        </is>
      </c>
      <c r="I3" s="15" t="inlineStr">
        <is>
          <t>Satellite imagery, deep learning building extraction, 3D building inventory</t>
        </is>
      </c>
      <c r="J3" s="15" t="inlineStr">
        <is>
          <t>Shows major long term physical urban expansion in Bishkek</t>
        </is>
      </c>
      <c r="K3" s="15" t="inlineStr">
        <is>
          <t>Measures built environment expansion, not the same as annual commissioned residential floor area</t>
        </is>
      </c>
      <c r="L3" s="15" t="inlineStr">
        <is>
          <t>Independent evidence of physical urban growth</t>
        </is>
      </c>
      <c r="M3" s="15" t="inlineStr">
        <is>
          <t>Literature Review and Discussion</t>
        </is>
      </c>
      <c r="N3" s="15" t="inlineStr">
        <is>
          <t>Long term Bishkek building growth and remote sensing measurement</t>
        </is>
      </c>
    </row>
    <row r="4">
      <c r="A4" s="15" t="inlineStr">
        <is>
          <t>Omurakunova, G., Bao, A., Xu, W., et al. Expansion of Impervious Surfaces and Their Driving Forces in Highly Urbanized Cities in Kyrgyzstan.</t>
        </is>
      </c>
      <c r="B4" s="15" t="n">
        <v>2020</v>
      </c>
      <c r="C4" s="15" t="inlineStr">
        <is>
          <t>International Journal of Environmental Research and Public Health</t>
        </is>
      </c>
      <c r="D4" s="15" t="inlineStr">
        <is>
          <t>10.3390/ijerph17010362</t>
        </is>
      </c>
      <c r="E4" s="15" t="inlineStr">
        <is>
          <t>https://www.mdpi.com/1660-4601/17/1/362</t>
        </is>
      </c>
      <c r="F4" s="15" t="inlineStr">
        <is>
          <t>Bishkek, Osh, Jalal Abad</t>
        </is>
      </c>
      <c r="G4" s="15" t="inlineStr">
        <is>
          <t>1993 to 2017</t>
        </is>
      </c>
      <c r="H4" s="15" t="inlineStr">
        <is>
          <t>Measure impervious surface expansion and examine associated drivers</t>
        </is>
      </c>
      <c r="I4" s="15" t="inlineStr">
        <is>
          <t>Remote sensing classification and comparative urban analysis</t>
        </is>
      </c>
      <c r="J4" s="15" t="inlineStr">
        <is>
          <t>Reports substantial impervious surface expansion, with different rates among the three cities</t>
        </is>
      </c>
      <c r="K4" s="15" t="inlineStr">
        <is>
          <t>Ends before the present study period and is limited to three cities</t>
        </is>
      </c>
      <c r="L4" s="15" t="inlineStr">
        <is>
          <t>Regional differences and physical expansion context</t>
        </is>
      </c>
      <c r="M4" s="15" t="inlineStr">
        <is>
          <t>Literature Review and Discussion</t>
        </is>
      </c>
      <c r="N4" s="15" t="inlineStr">
        <is>
          <t>Urban expansion differed among Bishkek, Osh, and Jalal Abad</t>
        </is>
      </c>
    </row>
    <row r="5">
      <c r="A5" s="15" t="inlineStr">
        <is>
          <t>Hatcher, C., &amp; Thieme, S. Institutional Transition: Internal Migration, the Propiska, and Post Socialist Urban Change in Bishkek, Kyrgyzstan.</t>
        </is>
      </c>
      <c r="B5" s="15" t="n">
        <v>2016</v>
      </c>
      <c r="C5" s="15" t="inlineStr">
        <is>
          <t>Urban Studies</t>
        </is>
      </c>
      <c r="D5" s="15" t="inlineStr">
        <is>
          <t>10.1177/0042098015587252</t>
        </is>
      </c>
      <c r="E5" s="15" t="inlineStr">
        <is>
          <t>https://journals.sagepub.com/doi/10.1177/0042098015587252</t>
        </is>
      </c>
      <c r="F5" s="15" t="inlineStr">
        <is>
          <t>Bishkek</t>
        </is>
      </c>
      <c r="G5" s="15" t="inlineStr">
        <is>
          <t>Post Soviet period</t>
        </is>
      </c>
      <c r="H5" s="15" t="inlineStr">
        <is>
          <t>Examine internal migration, registration institutions, and urban change</t>
        </is>
      </c>
      <c r="I5" s="15" t="inlineStr">
        <is>
          <t>Qualitative institutional and migration analysis</t>
        </is>
      </c>
      <c r="J5" s="15" t="inlineStr">
        <is>
          <t>Shows how institutional transition and migration are negotiated in Bishkek's urban transformation</t>
        </is>
      </c>
      <c r="K5" s="15" t="inlineStr">
        <is>
          <t>Does not establish causal effects on the construction series</t>
        </is>
      </c>
      <c r="L5" s="15" t="inlineStr">
        <is>
          <t>Migration and institutional context</t>
        </is>
      </c>
      <c r="M5" s="15" t="inlineStr">
        <is>
          <t>Literature Review and Discussion</t>
        </is>
      </c>
      <c r="N5" s="15" t="inlineStr">
        <is>
          <t>Internal migration and propiska are important components of Bishkek's post Soviet urban change</t>
        </is>
      </c>
    </row>
    <row r="6">
      <c r="A6" s="15" t="inlineStr">
        <is>
          <t>Hatcher, C. Globalising Homeownership: Housing Privatisation Schemes and the Private Rental Sector in Post Socialist Bishkek, Kyrgyzstan.</t>
        </is>
      </c>
      <c r="B6" s="15" t="n">
        <v>2015</v>
      </c>
      <c r="C6" s="15" t="inlineStr">
        <is>
          <t>International Development Planning Review</t>
        </is>
      </c>
      <c r="D6" s="15" t="inlineStr">
        <is>
          <t>10.3828/idpr.2015.30</t>
        </is>
      </c>
      <c r="E6" s="15" t="inlineStr">
        <is>
          <t>https://doi.org/10.3828/idpr.2015.30</t>
        </is>
      </c>
      <c r="F6" s="15" t="inlineStr">
        <is>
          <t>Bishkek</t>
        </is>
      </c>
      <c r="G6" s="15" t="inlineStr">
        <is>
          <t>Post Soviet period</t>
        </is>
      </c>
      <c r="H6" s="15" t="inlineStr">
        <is>
          <t>Analyze housing privatization, homeownership, and rental sector transformation</t>
        </is>
      </c>
      <c r="I6" s="15" t="inlineStr">
        <is>
          <t>Housing institutions and qualitative policy analysis</t>
        </is>
      </c>
      <c r="J6" s="15" t="inlineStr">
        <is>
          <t>Describes privatization, property relations, rental rights, and housing system transformation</t>
        </is>
      </c>
      <c r="K6" s="15" t="inlineStr">
        <is>
          <t>Bishkek specific and institutional rather than quantitative regional construction analysis</t>
        </is>
      </c>
      <c r="L6" s="15" t="inlineStr">
        <is>
          <t>Housing system transformation</t>
        </is>
      </c>
      <c r="M6" s="15" t="inlineStr">
        <is>
          <t>Literature Review</t>
        </is>
      </c>
      <c r="N6" s="15" t="inlineStr">
        <is>
          <t>Post Soviet housing privatization and changing property relations in Bishkek</t>
        </is>
      </c>
    </row>
    <row r="7">
      <c r="A7" s="15" t="inlineStr">
        <is>
          <t>Schröder, P. Urbanizing Bishkek: Interrelations of Boundaries, Migration, Group Size and Opportunity Structure.</t>
        </is>
      </c>
      <c r="B7" s="15" t="n">
        <v>2010</v>
      </c>
      <c r="C7" s="15" t="inlineStr">
        <is>
          <t>Central Asian Survey</t>
        </is>
      </c>
      <c r="D7" s="15" t="inlineStr">
        <is>
          <t>10.1080/02634937.2010.537143</t>
        </is>
      </c>
      <c r="E7" s="15" t="inlineStr">
        <is>
          <t>https://www.tandfonline.com/doi/full/10.1080/02634937.2010.537143</t>
        </is>
      </c>
      <c r="F7" s="15" t="inlineStr">
        <is>
          <t>Bishkek</t>
        </is>
      </c>
      <c r="G7" s="15" t="inlineStr">
        <is>
          <t>Post Soviet period</t>
        </is>
      </c>
      <c r="H7" s="15" t="inlineStr">
        <is>
          <t>Examine urbanization and migration dynamics in Bishkek</t>
        </is>
      </c>
      <c r="I7" s="15" t="inlineStr">
        <is>
          <t>Urban and migration analysis</t>
        </is>
      </c>
      <c r="J7" s="15" t="inlineStr">
        <is>
          <t>Links migration, urban boundaries, and opportunity structures in Bishkek</t>
        </is>
      </c>
      <c r="K7" s="15" t="inlineStr">
        <is>
          <t>Older study and not focused on recent construction</t>
        </is>
      </c>
      <c r="L7" s="15" t="inlineStr">
        <is>
          <t>Demographic and urbanization context</t>
        </is>
      </c>
      <c r="M7" s="15" t="inlineStr">
        <is>
          <t>Literature Review</t>
        </is>
      </c>
      <c r="N7" s="15" t="inlineStr">
        <is>
          <t>Migration and urbanization shaped Bishkek's post Soviet development</t>
        </is>
      </c>
    </row>
    <row r="8">
      <c r="A8" s="15" t="inlineStr">
        <is>
          <t>Flynn, M., Kosmarskaya, N., &amp; Sabirova, G. The Place of Memory in Understanding Urban Change in Central Asia: The Cities of Bishkek and Ferghana.</t>
        </is>
      </c>
      <c r="B8" s="15" t="n">
        <v>2014</v>
      </c>
      <c r="C8" s="15" t="inlineStr">
        <is>
          <t>Europe Asia Studies</t>
        </is>
      </c>
      <c r="D8" s="15" t="inlineStr">
        <is>
          <t>10.1080/09668136.2014.957926</t>
        </is>
      </c>
      <c r="E8" s="15" t="inlineStr">
        <is>
          <t>https://www.tandfonline.com/doi/abs/10.1080/09668136.2014.957926</t>
        </is>
      </c>
      <c r="F8" s="15" t="inlineStr">
        <is>
          <t>Bishkek and Ferghana</t>
        </is>
      </c>
      <c r="G8" s="15" t="inlineStr">
        <is>
          <t>Post Soviet period</t>
        </is>
      </c>
      <c r="H8" s="15" t="inlineStr">
        <is>
          <t>Use residents' memories to interpret urban change</t>
        </is>
      </c>
      <c r="I8" s="15" t="inlineStr">
        <is>
          <t>Qualitative interviews and urban change analysis</t>
        </is>
      </c>
      <c r="J8" s="15" t="inlineStr">
        <is>
          <t>Provides historical and experiential context for post Soviet urban transformation</t>
        </is>
      </c>
      <c r="K8" s="15" t="inlineStr">
        <is>
          <t>Not a construction measurement study</t>
        </is>
      </c>
      <c r="L8" s="15" t="inlineStr">
        <is>
          <t>Historical urban transformation context</t>
        </is>
      </c>
      <c r="M8" s="15" t="inlineStr">
        <is>
          <t>Literature Review</t>
        </is>
      </c>
      <c r="N8" s="15" t="inlineStr">
        <is>
          <t>Urban change in Bishkek should be situated within broader post Soviet transformation</t>
        </is>
      </c>
    </row>
    <row r="9">
      <c r="A9" s="15" t="inlineStr">
        <is>
          <t>Kaganova, O., Akmatov, A., &amp; Undeland, C. Introducing More Transparent and Efficient Land Management in Post Socialist Cities: Lessons from Kyrgyzstan.</t>
        </is>
      </c>
      <c r="B9" s="15" t="n">
        <v>2008</v>
      </c>
      <c r="C9" s="15" t="inlineStr">
        <is>
          <t>International Journal of Strategic Property Management</t>
        </is>
      </c>
      <c r="D9" s="15" t="inlineStr">
        <is>
          <t>10.3846/1648-715X.2008.12.161-181</t>
        </is>
      </c>
      <c r="E9" s="15" t="inlineStr">
        <is>
          <t>https://journals.vilniustech.lt/index.php/IJSPM/article/view/6763</t>
        </is>
      </c>
      <c r="F9" s="15" t="inlineStr">
        <is>
          <t>Five Kyrgyz cities</t>
        </is>
      </c>
      <c r="G9" s="15" t="inlineStr">
        <is>
          <t>Reform period before 2008</t>
        </is>
      </c>
      <c r="H9" s="15" t="inlineStr">
        <is>
          <t>Assess and improve municipal land management practices</t>
        </is>
      </c>
      <c r="I9" s="15" t="inlineStr">
        <is>
          <t>Applied institutional and municipal land management work</t>
        </is>
      </c>
      <c r="J9" s="15" t="inlineStr">
        <is>
          <t>Discusses municipal land inventory, registration, leasing, sales, and decentralization</t>
        </is>
      </c>
      <c r="K9" s="15" t="inlineStr">
        <is>
          <t>Older institutional study; publication page also shows a later online posting date</t>
        </is>
      </c>
      <c r="L9" s="15" t="inlineStr">
        <is>
          <t>Land management and development institutions</t>
        </is>
      </c>
      <c r="M9" s="15" t="inlineStr">
        <is>
          <t>Literature Review and Discussion</t>
        </is>
      </c>
      <c r="N9" s="15" t="inlineStr">
        <is>
          <t>Kyrgyz municipal land institutions changed substantially in the post Soviet period</t>
        </is>
      </c>
    </row>
    <row r="10">
      <c r="A10" s="15" t="inlineStr">
        <is>
          <t>Bekhzanova, G. B., Dolonova, T. A., &amp; Solpueva, A. K. State of Housing Construction in Kyrgyzstan.</t>
        </is>
      </c>
      <c r="B10" s="15" t="n">
        <v>2022</v>
      </c>
      <c r="C10" s="15" t="inlineStr">
        <is>
          <t>The Herald of KSUCTA</t>
        </is>
      </c>
      <c r="D10" s="15" t="inlineStr">
        <is>
          <t>10.35803/1694-5298.2022.2.540-547</t>
        </is>
      </c>
      <c r="E10" s="15" t="inlineStr">
        <is>
          <t>https://www.researchgate.net/publication/360465825_STATE_OF_HOUSING_CONSTRUCTION_IN_KYRGYZSTAN</t>
        </is>
      </c>
      <c r="F10" s="15" t="inlineStr">
        <is>
          <t>Kyrgyzstan</t>
        </is>
      </c>
      <c r="G10" s="15" t="inlineStr">
        <is>
          <t>Official statistics through about 2020</t>
        </is>
      </c>
      <c r="H10" s="15" t="inlineStr">
        <is>
          <t>Assess the state of housing construction and housing needs</t>
        </is>
      </c>
      <c r="I10" s="15" t="inlineStr">
        <is>
          <t>Descriptive analysis of official housing statistics</t>
        </is>
      </c>
      <c r="J10" s="15" t="inlineStr">
        <is>
          <t>Discusses housing demand, supply conditions, and construction indicators</t>
        </is>
      </c>
      <c r="K10" s="15" t="inlineStr">
        <is>
          <t>Predates the 2021 to 2025 period and should be balanced with indexed literature</t>
        </is>
      </c>
      <c r="L10" s="15" t="inlineStr">
        <is>
          <t>Direct national housing construction context</t>
        </is>
      </c>
      <c r="M10" s="15" t="inlineStr">
        <is>
          <t>Literature Review</t>
        </is>
      </c>
      <c r="N10" s="15" t="inlineStr">
        <is>
          <t>Housing construction and housing need were already important national policy and sector issues before 2021</t>
        </is>
      </c>
    </row>
    <row r="11">
      <c r="A11" s="15" t="inlineStr">
        <is>
          <t>Sykora, L., &amp; Bouzarovski, S. Multiple Transformations: Conceptualising the Post Communist Urban Transition.</t>
        </is>
      </c>
      <c r="B11" s="15" t="n">
        <v>2012</v>
      </c>
      <c r="C11" s="15" t="inlineStr">
        <is>
          <t>Urban Studies</t>
        </is>
      </c>
      <c r="D11" s="15" t="inlineStr">
        <is>
          <t>10.1177/0042098010397402</t>
        </is>
      </c>
      <c r="E11" s="15" t="inlineStr">
        <is>
          <t>https://journals.sagepub.com/doi/10.1177/0042098010397402</t>
        </is>
      </c>
      <c r="F11" s="15" t="inlineStr">
        <is>
          <t>Post communist cities</t>
        </is>
      </c>
      <c r="G11" s="15" t="inlineStr">
        <is>
          <t>Post 1989 transition</t>
        </is>
      </c>
      <c r="H11" s="15" t="inlineStr">
        <is>
          <t>Develop a conceptual framework for post communist urban transition</t>
        </is>
      </c>
      <c r="I11" s="15" t="inlineStr">
        <is>
          <t>Conceptual and comparative urban studies</t>
        </is>
      </c>
      <c r="J11" s="15" t="inlineStr">
        <is>
          <t>Frames institutional, social, and spatial transformations as interconnected processes</t>
        </is>
      </c>
      <c r="K11" s="15" t="inlineStr">
        <is>
          <t>Broad theoretical framework rather than Kyrgyzstan specific evidence</t>
        </is>
      </c>
      <c r="L11" s="15" t="inlineStr">
        <is>
          <t>Theoretical framework</t>
        </is>
      </c>
      <c r="M11" s="15" t="inlineStr">
        <is>
          <t>Literature Review and Discussion</t>
        </is>
      </c>
      <c r="N11" s="15" t="inlineStr">
        <is>
          <t>Post socialist urban change can be understood through interacting institutional, social, and spatial transformations</t>
        </is>
      </c>
    </row>
    <row r="12">
      <c r="A12" s="15" t="inlineStr">
        <is>
          <t>Panzera, D., Cartone, A., &amp; Postiglione, P. New Evidence on Measuring the Geographical Concentration of Economic Activities.</t>
        </is>
      </c>
      <c r="B12" s="15" t="n">
        <v>2022</v>
      </c>
      <c r="C12" s="15" t="inlineStr">
        <is>
          <t>Papers in Regional Science</t>
        </is>
      </c>
      <c r="D12" s="15" t="inlineStr">
        <is>
          <t>10.1111/pirs.12644</t>
        </is>
      </c>
      <c r="E12" s="15" t="inlineStr">
        <is>
          <t>https://onlinelibrary.wiley.com/doi/full/10.1111/pirs.12644</t>
        </is>
      </c>
      <c r="F12" s="15" t="inlineStr">
        <is>
          <t>European NUTS 3 regions</t>
        </is>
      </c>
      <c r="G12" s="15" t="inlineStr">
        <is>
          <t>2001 to 2018</t>
        </is>
      </c>
      <c r="H12" s="15" t="inlineStr">
        <is>
          <t>Evaluate geographic concentration measures and spatial sensitivity</t>
        </is>
      </c>
      <c r="I12" s="15" t="inlineStr">
        <is>
          <t>Spatial concentration measures and decomposed locational Gini applications</t>
        </is>
      </c>
      <c r="J12" s="15" t="inlineStr">
        <is>
          <t>Shows that traditional concentration measures may miss spatial rearrangements because they ignore spatial interactions</t>
        </is>
      </c>
      <c r="K12" s="15" t="inlineStr">
        <is>
          <t>Economic activity is not identical to residential construction; methodological concepts only</t>
        </is>
      </c>
      <c r="L12" s="15" t="inlineStr">
        <is>
          <t>Supports concentration measure limitations</t>
        </is>
      </c>
      <c r="M12" s="15" t="inlineStr">
        <is>
          <t>Data and Methods and Limitations</t>
        </is>
      </c>
      <c r="N12" s="15" t="inlineStr">
        <is>
          <t>A nonspatial concentration measure does not account for distance or adjacency among territorial units</t>
        </is>
      </c>
    </row>
    <row r="13">
      <c r="A13" s="15" t="inlineStr">
        <is>
          <t>Soltogulova, M. U., Derbisheva, E. D., &amp; Asanov, R. K. Analysis of Housing Development in the Kyrgyz Republic.</t>
        </is>
      </c>
      <c r="B13" s="15" t="n">
        <v>2024</v>
      </c>
      <c r="C13" s="15" t="inlineStr">
        <is>
          <t>Bulletin of Science and Practice</t>
        </is>
      </c>
      <c r="D13" s="15" t="inlineStr">
        <is>
          <t>10.33619/2414-2948/109/53</t>
        </is>
      </c>
      <c r="E13" s="15" t="inlineStr">
        <is>
          <t>https://doi.org/10.33619/2414-2948/109/53</t>
        </is>
      </c>
      <c r="F13" s="15" t="inlineStr">
        <is>
          <t>Kyrgyzstan</t>
        </is>
      </c>
      <c r="G13" s="15" t="inlineStr">
        <is>
          <t>Approximately 2019 to 2023</t>
        </is>
      </c>
      <c r="H13" s="15" t="inlineStr">
        <is>
          <t>Analyze recent housing development and commissioning trends</t>
        </is>
      </c>
      <c r="I13" s="15" t="inlineStr">
        <is>
          <t>Descriptive analysis of housing commissioning, housing stock, prices, and sector factors</t>
        </is>
      </c>
      <c r="J13" s="15" t="inlineStr">
        <is>
          <t>Provides a recent five year national housing analysis</t>
        </is>
      </c>
      <c r="K13" s="15" t="inlineStr">
        <is>
          <t>Does not appear to provide the same nine territory 2021 to 2025 share and concentration design</t>
        </is>
      </c>
      <c r="L13" s="15" t="inlineStr">
        <is>
          <t>Important recent study for testing the research gap</t>
        </is>
      </c>
      <c r="M13" s="15" t="inlineStr">
        <is>
          <t>Literature Review and Research Gap</t>
        </is>
      </c>
      <c r="N13" s="15" t="inlineStr">
        <is>
          <t>Recent Kyrgyz scholarship already examines national housing commissioning trends, so novelty should be stated narrowly</t>
        </is>
      </c>
    </row>
    <row r="14">
      <c r="A14" s="15" t="inlineStr">
        <is>
          <t>Toktalieva, K. A. Diagnostics of Construction of Residential Buildings in Urban and Rural Areas of the Kyrgyz Republic and Their Financing as a Platform for Development of the Construction Industry.</t>
        </is>
      </c>
      <c r="B14" s="15" t="n">
        <v>2025</v>
      </c>
      <c r="C14" s="15" t="inlineStr">
        <is>
          <t>News of Issyk Kul Forum of Central Asian Accountants and Auditors</t>
        </is>
      </c>
      <c r="D14" s="15" t="inlineStr">
        <is>
          <t>10.63341/buhform.1.2025.122</t>
        </is>
      </c>
      <c r="E14" s="15" t="inlineStr">
        <is>
          <t>https://doi.org/10.63341/buhform.1.2025.122</t>
        </is>
      </c>
      <c r="F14" s="15" t="inlineStr">
        <is>
          <t>Kyrgyzstan</t>
        </is>
      </c>
      <c r="G14" s="15" t="inlineStr">
        <is>
          <t>Recent period</t>
        </is>
      </c>
      <c r="H14" s="15" t="inlineStr">
        <is>
          <t>Examine residential construction in urban and rural areas and financing</t>
        </is>
      </c>
      <c r="I14" s="15" t="inlineStr">
        <is>
          <t>Descriptive sector and financing analysis</t>
        </is>
      </c>
      <c r="J14" s="15" t="inlineStr">
        <is>
          <t>Addresses recent residential construction and financing in urban and rural categories</t>
        </is>
      </c>
      <c r="K14" s="15" t="inlineStr">
        <is>
          <t>Different geographic aggregation and research questions from the present nine territory concentration study</t>
        </is>
      </c>
      <c r="L14" s="15" t="inlineStr">
        <is>
          <t>Recent literature and gap testing</t>
        </is>
      </c>
      <c r="M14" s="15" t="inlineStr">
        <is>
          <t>Literature Review and Research Gap</t>
        </is>
      </c>
      <c r="N14" s="15" t="inlineStr">
        <is>
          <t>Recent research addresses urban and rural residential construction, requiring a narrow statement of this paper's contribution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>
      <c r="A1" s="52" t="inlineStr">
        <is>
          <t>Each city combined with its surrounding region (Bishkek+Chui; Osh City+Osh Region). Values in thousand sq.m. unless stated. Generated by reproduce_analysis_v2.py.</t>
        </is>
      </c>
    </row>
    <row r="3">
      <c r="A3" s="53" t="inlineStr">
        <is>
          <t>region</t>
        </is>
      </c>
      <c r="B3" s="53" t="inlineStr">
        <is>
          <t>2021</t>
        </is>
      </c>
      <c r="C3" s="53" t="inlineStr">
        <is>
          <t>2025</t>
        </is>
      </c>
      <c r="D3" s="53" t="inlineStr">
        <is>
          <t>pct_change</t>
        </is>
      </c>
      <c r="E3" s="53" t="inlineStr">
        <is>
          <t>share_2021_pct</t>
        </is>
      </c>
      <c r="F3" s="53" t="inlineStr">
        <is>
          <t>share_2025_pct</t>
        </is>
      </c>
    </row>
    <row r="4">
      <c r="A4" t="inlineStr">
        <is>
          <t>Batken Region</t>
        </is>
      </c>
      <c r="B4" t="n">
        <v>63.4</v>
      </c>
      <c r="C4" t="n">
        <v>71.2</v>
      </c>
      <c r="D4" t="n">
        <v>12.3028</v>
      </c>
      <c r="E4" t="n">
        <v>4.8279</v>
      </c>
      <c r="F4" t="n">
        <v>3.9123</v>
      </c>
    </row>
    <row r="5">
      <c r="A5" t="inlineStr">
        <is>
          <t>Issyk Kul Region</t>
        </is>
      </c>
      <c r="B5" t="n">
        <v>85.8</v>
      </c>
      <c r="C5" t="n">
        <v>86.3</v>
      </c>
      <c r="D5" t="n">
        <v>0.5828</v>
      </c>
      <c r="E5" t="n">
        <v>6.5337</v>
      </c>
      <c r="F5" t="n">
        <v>4.742</v>
      </c>
    </row>
    <row r="6">
      <c r="A6" t="inlineStr">
        <is>
          <t>Jalal Abad Region</t>
        </is>
      </c>
      <c r="B6" t="n">
        <v>186.1</v>
      </c>
      <c r="C6" t="n">
        <v>311.8</v>
      </c>
      <c r="D6" t="n">
        <v>67.54430000000001</v>
      </c>
      <c r="E6" t="n">
        <v>14.1715</v>
      </c>
      <c r="F6" t="n">
        <v>17.1328</v>
      </c>
    </row>
    <row r="7">
      <c r="A7" t="inlineStr">
        <is>
          <t>Naryn Region</t>
        </is>
      </c>
      <c r="B7" t="n">
        <v>43.1</v>
      </c>
      <c r="C7" t="n">
        <v>36.2</v>
      </c>
      <c r="D7" t="n">
        <v>-16.0093</v>
      </c>
      <c r="E7" t="n">
        <v>3.2821</v>
      </c>
      <c r="F7" t="n">
        <v>1.9891</v>
      </c>
    </row>
    <row r="8">
      <c r="A8" t="inlineStr">
        <is>
          <t>Talas Region</t>
        </is>
      </c>
      <c r="B8" t="n">
        <v>63.2</v>
      </c>
      <c r="C8" t="n">
        <v>80.8</v>
      </c>
      <c r="D8" t="n">
        <v>27.8481</v>
      </c>
      <c r="E8" t="n">
        <v>4.8127</v>
      </c>
      <c r="F8" t="n">
        <v>4.4398</v>
      </c>
    </row>
    <row r="9">
      <c r="A9" t="inlineStr">
        <is>
          <t>Bishkek City + Chui Region</t>
        </is>
      </c>
      <c r="B9" t="n">
        <v>516.9</v>
      </c>
      <c r="C9" t="n">
        <v>832.8</v>
      </c>
      <c r="D9" t="n">
        <v>61.1143</v>
      </c>
      <c r="E9" t="n">
        <v>39.3619</v>
      </c>
      <c r="F9" t="n">
        <v>45.7608</v>
      </c>
    </row>
    <row r="10">
      <c r="A10" t="inlineStr">
        <is>
          <t>Osh City + Osh Region</t>
        </is>
      </c>
      <c r="B10" t="n">
        <v>354.7</v>
      </c>
      <c r="C10" t="n">
        <v>400.8</v>
      </c>
      <c r="D10" t="n">
        <v>12.9969</v>
      </c>
      <c r="E10" t="n">
        <v>27.0104</v>
      </c>
      <c r="F10" t="n">
        <v>22.0232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20" customWidth="1" min="3" max="3"/>
    <col width="16" customWidth="1" min="4" max="4"/>
    <col width="20" customWidth="1" min="5" max="5"/>
  </cols>
  <sheetData>
    <row r="1">
      <c r="A1" s="52" t="inlineStr">
        <is>
          <t>HHI for nine units, normalized HHI (H-1/N)/(1-1/N), and seven merged units.</t>
        </is>
      </c>
    </row>
    <row r="3">
      <c r="A3" s="53" t="inlineStr">
        <is>
          <t>year</t>
        </is>
      </c>
      <c r="B3" s="53" t="inlineStr">
        <is>
          <t>hhi_9_units</t>
        </is>
      </c>
      <c r="C3" s="53" t="inlineStr">
        <is>
          <t>hhi_9_normalized</t>
        </is>
      </c>
      <c r="D3" s="53" t="inlineStr">
        <is>
          <t>hhi_7_merged</t>
        </is>
      </c>
      <c r="E3" s="53" t="inlineStr">
        <is>
          <t>hhi_7_normalized</t>
        </is>
      </c>
    </row>
    <row r="4">
      <c r="A4" t="n">
        <v>2021</v>
      </c>
      <c r="B4" t="n">
        <v>0.157699</v>
      </c>
      <c r="C4" t="n">
        <v>0.052412</v>
      </c>
      <c r="D4" t="n">
        <v>0.257968</v>
      </c>
      <c r="E4" t="n">
        <v>0.134296</v>
      </c>
    </row>
    <row r="5">
      <c r="A5" t="n">
        <v>2022</v>
      </c>
      <c r="B5" t="n">
        <v>0.160999</v>
      </c>
      <c r="C5" t="n">
        <v>0.056123</v>
      </c>
      <c r="D5" t="n">
        <v>0.265107</v>
      </c>
      <c r="E5" t="n">
        <v>0.142625</v>
      </c>
    </row>
    <row r="6">
      <c r="A6" t="n">
        <v>2023</v>
      </c>
      <c r="B6" t="n">
        <v>0.184282</v>
      </c>
      <c r="C6" t="n">
        <v>0.082317</v>
      </c>
      <c r="D6" t="n">
        <v>0.288536</v>
      </c>
      <c r="E6" t="n">
        <v>0.169959</v>
      </c>
    </row>
    <row r="7">
      <c r="A7" t="n">
        <v>2024</v>
      </c>
      <c r="B7" t="n">
        <v>0.191906</v>
      </c>
      <c r="C7" t="n">
        <v>0.090894</v>
      </c>
      <c r="D7" t="n">
        <v>0.276983</v>
      </c>
      <c r="E7" t="n">
        <v>0.15648</v>
      </c>
    </row>
    <row r="8">
      <c r="A8" t="n">
        <v>2025</v>
      </c>
      <c r="B8" t="n">
        <v>0.188774</v>
      </c>
      <c r="C8" t="n">
        <v>0.087371</v>
      </c>
      <c r="D8" t="n">
        <v>0.293406</v>
      </c>
      <c r="E8" t="n">
        <v>0.175641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4" customWidth="1" min="4" max="4"/>
  </cols>
  <sheetData>
    <row r="1">
      <c r="A1" s="52" t="inlineStr">
        <is>
          <t>Two-year averages (2021-22 vs 2024-25), thousand sq.m. Two-year HHI: 0.1591 -&gt; 0.1898.</t>
        </is>
      </c>
    </row>
    <row r="3">
      <c r="A3" s="53" t="inlineStr">
        <is>
          <t>region</t>
        </is>
      </c>
      <c r="B3" s="53" t="inlineStr">
        <is>
          <t>avg_2021_22</t>
        </is>
      </c>
      <c r="C3" s="53" t="inlineStr">
        <is>
          <t>avg_2024_25</t>
        </is>
      </c>
      <c r="D3" s="53" t="inlineStr">
        <is>
          <t>pct_change</t>
        </is>
      </c>
    </row>
    <row r="4">
      <c r="A4" t="inlineStr">
        <is>
          <t>Batken Region</t>
        </is>
      </c>
      <c r="B4" t="n">
        <v>69.95</v>
      </c>
      <c r="C4" t="n">
        <v>70.05</v>
      </c>
      <c r="D4" t="n">
        <v>0.143</v>
      </c>
    </row>
    <row r="5">
      <c r="A5" t="inlineStr">
        <is>
          <t>Bishkek City</t>
        </is>
      </c>
      <c r="B5" t="n">
        <v>364.25</v>
      </c>
      <c r="C5" t="n">
        <v>578.05</v>
      </c>
      <c r="D5" t="n">
        <v>58.696</v>
      </c>
    </row>
    <row r="6">
      <c r="A6" t="inlineStr">
        <is>
          <t>Chui Region</t>
        </is>
      </c>
      <c r="B6" t="n">
        <v>194.8</v>
      </c>
      <c r="C6" t="n">
        <v>183.45</v>
      </c>
      <c r="D6" t="n">
        <v>-5.826</v>
      </c>
    </row>
    <row r="7">
      <c r="A7" t="inlineStr">
        <is>
          <t>Issyk Kul Region</t>
        </is>
      </c>
      <c r="B7" t="n">
        <v>87.5</v>
      </c>
      <c r="C7" t="n">
        <v>84.59999999999999</v>
      </c>
      <c r="D7" t="n">
        <v>-3.314</v>
      </c>
    </row>
    <row r="8">
      <c r="A8" t="inlineStr">
        <is>
          <t>Jalal Abad Region</t>
        </is>
      </c>
      <c r="B8" t="n">
        <v>198.7</v>
      </c>
      <c r="C8" t="n">
        <v>305.85</v>
      </c>
      <c r="D8" t="n">
        <v>53.926</v>
      </c>
    </row>
    <row r="9">
      <c r="A9" t="inlineStr">
        <is>
          <t>Naryn Region</t>
        </is>
      </c>
      <c r="B9" t="n">
        <v>41.6</v>
      </c>
      <c r="C9" t="n">
        <v>34.1</v>
      </c>
      <c r="D9" t="n">
        <v>-18.029</v>
      </c>
    </row>
    <row r="10">
      <c r="A10" t="inlineStr">
        <is>
          <t>Osh City</t>
        </is>
      </c>
      <c r="B10" t="n">
        <v>107.7</v>
      </c>
      <c r="C10" t="n">
        <v>159.7</v>
      </c>
      <c r="D10" t="n">
        <v>48.282</v>
      </c>
    </row>
    <row r="11">
      <c r="A11" t="inlineStr">
        <is>
          <t>Osh Region</t>
        </is>
      </c>
      <c r="B11" t="n">
        <v>257.3</v>
      </c>
      <c r="C11" t="n">
        <v>198.6</v>
      </c>
      <c r="D11" t="n">
        <v>-22.814</v>
      </c>
    </row>
    <row r="12">
      <c r="A12" t="inlineStr">
        <is>
          <t>Talas Region</t>
        </is>
      </c>
      <c r="B12" t="n">
        <v>66.09999999999999</v>
      </c>
      <c r="C12" t="n">
        <v>82.25</v>
      </c>
      <c r="D12" t="n">
        <v>24.433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8" customWidth="1" min="8" max="8"/>
    <col width="19" customWidth="1" min="9" max="9"/>
    <col width="39" customWidth="1" min="10" max="10"/>
  </cols>
  <sheetData>
    <row r="1">
      <c r="A1" s="52" t="inlineStr">
        <is>
          <t>Territory contribution to the 2021-2025 national change (last column), with growth and share measures.</t>
        </is>
      </c>
    </row>
    <row r="3">
      <c r="A3" s="53" t="inlineStr">
        <is>
          <t>region</t>
        </is>
      </c>
      <c r="B3" s="53" t="inlineStr">
        <is>
          <t>y2021</t>
        </is>
      </c>
      <c r="C3" s="53" t="inlineStr">
        <is>
          <t>y2025</t>
        </is>
      </c>
      <c r="D3" s="53" t="inlineStr">
        <is>
          <t>abs_change</t>
        </is>
      </c>
      <c r="E3" s="53" t="inlineStr">
        <is>
          <t>pct_change</t>
        </is>
      </c>
      <c r="F3" s="53" t="inlineStr">
        <is>
          <t>cagr_pct</t>
        </is>
      </c>
      <c r="G3" s="53" t="inlineStr">
        <is>
          <t>share_2021_pct</t>
        </is>
      </c>
      <c r="H3" s="53" t="inlineStr">
        <is>
          <t>share_2025_pct</t>
        </is>
      </c>
      <c r="I3" s="53" t="inlineStr">
        <is>
          <t>share_change_pp</t>
        </is>
      </c>
      <c r="J3" s="53" t="inlineStr">
        <is>
          <t>contribution_to_national_change_pct</t>
        </is>
      </c>
    </row>
    <row r="4">
      <c r="A4" t="inlineStr">
        <is>
          <t>Batken Region</t>
        </is>
      </c>
      <c r="B4" t="n">
        <v>63.4</v>
      </c>
      <c r="C4" t="n">
        <v>71.2</v>
      </c>
      <c r="D4" t="n">
        <v>7.8</v>
      </c>
      <c r="E4" t="n">
        <v>12.3028</v>
      </c>
      <c r="F4" t="n">
        <v>2.9432</v>
      </c>
      <c r="G4" t="n">
        <v>4.8279</v>
      </c>
      <c r="H4" t="n">
        <v>3.9123</v>
      </c>
      <c r="I4" t="n">
        <v>-0.9156</v>
      </c>
      <c r="J4" t="n">
        <v>1.5394</v>
      </c>
    </row>
    <row r="5">
      <c r="A5" t="inlineStr">
        <is>
          <t>Bishkek City</t>
        </is>
      </c>
      <c r="B5" t="n">
        <v>348.6</v>
      </c>
      <c r="C5" t="n">
        <v>617</v>
      </c>
      <c r="D5" t="n">
        <v>268.4</v>
      </c>
      <c r="E5" t="n">
        <v>76.9937</v>
      </c>
      <c r="F5" t="n">
        <v>15.3425</v>
      </c>
      <c r="G5" t="n">
        <v>26.5458</v>
      </c>
      <c r="H5" t="n">
        <v>33.903</v>
      </c>
      <c r="I5" t="n">
        <v>7.3571</v>
      </c>
      <c r="J5" t="n">
        <v>52.9702</v>
      </c>
    </row>
    <row r="6">
      <c r="A6" t="inlineStr">
        <is>
          <t>Chui Region</t>
        </is>
      </c>
      <c r="B6" t="n">
        <v>168.3</v>
      </c>
      <c r="C6" t="n">
        <v>215.8</v>
      </c>
      <c r="D6" t="n">
        <v>47.5</v>
      </c>
      <c r="E6" t="n">
        <v>28.2234</v>
      </c>
      <c r="F6" t="n">
        <v>6.4123</v>
      </c>
      <c r="G6" t="n">
        <v>12.816</v>
      </c>
      <c r="H6" t="n">
        <v>11.8578</v>
      </c>
      <c r="I6" t="n">
        <v>-0.9582000000000001</v>
      </c>
      <c r="J6" t="n">
        <v>9.3744</v>
      </c>
    </row>
    <row r="7">
      <c r="A7" t="inlineStr">
        <is>
          <t>Issyk Kul Region</t>
        </is>
      </c>
      <c r="B7" t="n">
        <v>85.8</v>
      </c>
      <c r="C7" t="n">
        <v>86.3</v>
      </c>
      <c r="D7" t="n">
        <v>0.5</v>
      </c>
      <c r="E7" t="n">
        <v>0.5828</v>
      </c>
      <c r="F7" t="n">
        <v>0.1454</v>
      </c>
      <c r="G7" t="n">
        <v>6.5337</v>
      </c>
      <c r="H7" t="n">
        <v>4.742</v>
      </c>
      <c r="I7" t="n">
        <v>-1.7916</v>
      </c>
      <c r="J7" t="n">
        <v>0.0987</v>
      </c>
    </row>
    <row r="8">
      <c r="A8" t="inlineStr">
        <is>
          <t>Jalal Abad Region</t>
        </is>
      </c>
      <c r="B8" t="n">
        <v>186.1</v>
      </c>
      <c r="C8" t="n">
        <v>311.8</v>
      </c>
      <c r="D8" t="n">
        <v>125.7</v>
      </c>
      <c r="E8" t="n">
        <v>67.54430000000001</v>
      </c>
      <c r="F8" t="n">
        <v>13.7712</v>
      </c>
      <c r="G8" t="n">
        <v>14.1715</v>
      </c>
      <c r="H8" t="n">
        <v>17.1328</v>
      </c>
      <c r="I8" t="n">
        <v>2.9613</v>
      </c>
      <c r="J8" t="n">
        <v>24.8076</v>
      </c>
    </row>
    <row r="9">
      <c r="A9" t="inlineStr">
        <is>
          <t>Naryn Region</t>
        </is>
      </c>
      <c r="B9" t="n">
        <v>43.1</v>
      </c>
      <c r="C9" t="n">
        <v>36.2</v>
      </c>
      <c r="D9" t="n">
        <v>-6.9</v>
      </c>
      <c r="E9" t="n">
        <v>-16.0093</v>
      </c>
      <c r="F9" t="n">
        <v>-4.2678</v>
      </c>
      <c r="G9" t="n">
        <v>3.2821</v>
      </c>
      <c r="H9" t="n">
        <v>1.9891</v>
      </c>
      <c r="I9" t="n">
        <v>-1.2929</v>
      </c>
      <c r="J9" t="n">
        <v>-1.3618</v>
      </c>
    </row>
    <row r="10">
      <c r="A10" t="inlineStr">
        <is>
          <t>Osh City</t>
        </is>
      </c>
      <c r="B10" t="n">
        <v>116.8</v>
      </c>
      <c r="C10" t="n">
        <v>194.4</v>
      </c>
      <c r="D10" t="n">
        <v>77.59999999999999</v>
      </c>
      <c r="E10" t="n">
        <v>66.4384</v>
      </c>
      <c r="F10" t="n">
        <v>13.583</v>
      </c>
      <c r="G10" t="n">
        <v>8.894299999999999</v>
      </c>
      <c r="H10" t="n">
        <v>10.6819</v>
      </c>
      <c r="I10" t="n">
        <v>1.7876</v>
      </c>
      <c r="J10" t="n">
        <v>15.3148</v>
      </c>
    </row>
    <row r="11">
      <c r="A11" t="inlineStr">
        <is>
          <t>Osh Region</t>
        </is>
      </c>
      <c r="B11" t="n">
        <v>237.9</v>
      </c>
      <c r="C11" t="n">
        <v>206.4</v>
      </c>
      <c r="D11" t="n">
        <v>-31.5</v>
      </c>
      <c r="E11" t="n">
        <v>-13.2409</v>
      </c>
      <c r="F11" t="n">
        <v>-3.4886</v>
      </c>
      <c r="G11" t="n">
        <v>18.1161</v>
      </c>
      <c r="H11" t="n">
        <v>11.3413</v>
      </c>
      <c r="I11" t="n">
        <v>-6.7748</v>
      </c>
      <c r="J11" t="n">
        <v>-6.2167</v>
      </c>
    </row>
    <row r="12">
      <c r="A12" t="inlineStr">
        <is>
          <t>Talas Region</t>
        </is>
      </c>
      <c r="B12" t="n">
        <v>63.2</v>
      </c>
      <c r="C12" t="n">
        <v>80.8</v>
      </c>
      <c r="D12" t="n">
        <v>17.6</v>
      </c>
      <c r="E12" t="n">
        <v>27.8481</v>
      </c>
      <c r="F12" t="n">
        <v>6.3343</v>
      </c>
      <c r="G12" t="n">
        <v>4.8127</v>
      </c>
      <c r="H12" t="n">
        <v>4.4398</v>
      </c>
      <c r="I12" t="n">
        <v>-0.3729</v>
      </c>
      <c r="J12" t="n">
        <v>3.4735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52" t="inlineStr">
        <is>
          <t>Resident population at start of year, thousand persons (NSC). Boundary change in 2024.</t>
        </is>
      </c>
    </row>
    <row r="3">
      <c r="A3" s="53" t="inlineStr">
        <is>
          <t>region</t>
        </is>
      </c>
      <c r="B3" s="53" t="inlineStr">
        <is>
          <t>2021</t>
        </is>
      </c>
      <c r="C3" s="53" t="inlineStr">
        <is>
          <t>2022</t>
        </is>
      </c>
      <c r="D3" s="53" t="inlineStr">
        <is>
          <t>2023</t>
        </is>
      </c>
      <c r="E3" s="53" t="inlineStr">
        <is>
          <t>2024</t>
        </is>
      </c>
      <c r="F3" s="53" t="inlineStr">
        <is>
          <t>2025</t>
        </is>
      </c>
    </row>
    <row r="4">
      <c r="A4" t="inlineStr">
        <is>
          <t>Batken Region</t>
        </is>
      </c>
      <c r="B4" t="n">
        <v>549</v>
      </c>
      <c r="C4" t="n">
        <v>559.5</v>
      </c>
      <c r="D4" t="n">
        <v>570.9</v>
      </c>
      <c r="E4" t="n">
        <v>583.4</v>
      </c>
      <c r="F4" t="n">
        <v>594.7</v>
      </c>
    </row>
    <row r="5">
      <c r="A5" t="inlineStr">
        <is>
          <t>Bishkek City</t>
        </is>
      </c>
      <c r="B5" t="n">
        <v>1088.3</v>
      </c>
      <c r="C5" t="n">
        <v>1113.8</v>
      </c>
      <c r="D5" t="n">
        <v>1145</v>
      </c>
      <c r="E5" t="n">
        <v>1294.8</v>
      </c>
      <c r="F5" t="n">
        <v>1321.9</v>
      </c>
    </row>
    <row r="6">
      <c r="A6" t="inlineStr">
        <is>
          <t>Chui Region</t>
        </is>
      </c>
      <c r="B6" t="n">
        <v>1038.7</v>
      </c>
      <c r="C6" t="n">
        <v>1054.5</v>
      </c>
      <c r="D6" t="n">
        <v>1068.7</v>
      </c>
      <c r="E6" t="n">
        <v>957.6</v>
      </c>
      <c r="F6" t="n">
        <v>971.3</v>
      </c>
    </row>
    <row r="7">
      <c r="A7" t="inlineStr">
        <is>
          <t>Issyk Kul Region</t>
        </is>
      </c>
      <c r="B7" t="n">
        <v>527.7</v>
      </c>
      <c r="C7" t="n">
        <v>533.8</v>
      </c>
      <c r="D7" t="n">
        <v>538.4</v>
      </c>
      <c r="E7" t="n">
        <v>544.4</v>
      </c>
      <c r="F7" t="n">
        <v>549.8</v>
      </c>
    </row>
    <row r="8">
      <c r="A8" t="inlineStr">
        <is>
          <t>Jalal Abad Region</t>
        </is>
      </c>
      <c r="B8" t="n">
        <v>1266.3</v>
      </c>
      <c r="C8" t="n">
        <v>1288.4</v>
      </c>
      <c r="D8" t="n">
        <v>1311</v>
      </c>
      <c r="E8" t="n">
        <v>1335.8</v>
      </c>
      <c r="F8" t="n">
        <v>1358.5</v>
      </c>
    </row>
    <row r="9">
      <c r="A9" t="inlineStr">
        <is>
          <t>Naryn Region</t>
        </is>
      </c>
      <c r="B9" t="n">
        <v>303.4</v>
      </c>
      <c r="C9" t="n">
        <v>306.5</v>
      </c>
      <c r="D9" t="n">
        <v>308.4</v>
      </c>
      <c r="E9" t="n">
        <v>312.1</v>
      </c>
      <c r="F9" t="n">
        <v>314.9</v>
      </c>
    </row>
    <row r="10">
      <c r="A10" t="inlineStr">
        <is>
          <t>Osh City</t>
        </is>
      </c>
      <c r="B10" t="n">
        <v>337.8</v>
      </c>
      <c r="C10" t="n">
        <v>350.6</v>
      </c>
      <c r="D10" t="n">
        <v>361.3</v>
      </c>
      <c r="E10" t="n">
        <v>463.1</v>
      </c>
      <c r="F10" t="n">
        <v>473.5</v>
      </c>
    </row>
    <row r="11">
      <c r="A11" t="inlineStr">
        <is>
          <t>Osh Region</t>
        </is>
      </c>
      <c r="B11" t="n">
        <v>1410.8</v>
      </c>
      <c r="C11" t="n">
        <v>1435.5</v>
      </c>
      <c r="D11" t="n">
        <v>1460.4</v>
      </c>
      <c r="E11" t="n">
        <v>1393.6</v>
      </c>
      <c r="F11" t="n">
        <v>1416.7</v>
      </c>
    </row>
    <row r="12">
      <c r="A12" t="inlineStr">
        <is>
          <t>Talas Region</t>
        </is>
      </c>
      <c r="B12" t="n">
        <v>267.6</v>
      </c>
      <c r="C12" t="n">
        <v>270.3</v>
      </c>
      <c r="D12" t="n">
        <v>273.5</v>
      </c>
      <c r="E12" t="n">
        <v>277.1</v>
      </c>
      <c r="F12" t="n">
        <v>280.5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2026-10-05T18:31:58Z</dcterms:created>
  <dcterms:modified xmlns:dcterms="http://purl.org/dc/terms/" xmlns:xsi="http://www.w3.org/2001/XMLSchema-instance" xsi:type="dcterms:W3CDTF">2026-10-05T18:31:58Z</dcterms:modified>
</cp:coreProperties>
</file>